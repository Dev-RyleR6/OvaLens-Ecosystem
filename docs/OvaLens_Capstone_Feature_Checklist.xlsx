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Executive Overview" sheetId="1" state="visible" r:id="rId1"/>
    <sheet name="Master Checklist" sheetId="2" state="visible" r:id="rId2"/>
    <sheet name="Flowchart Traceability" sheetId="3" state="visible" r:id="rId3"/>
    <sheet name="Use Cases Traceability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2">
    <font>
      <name val="Calibri"/>
      <family val="2"/>
      <color theme="1"/>
      <sz val="11"/>
      <scheme val="minor"/>
    </font>
    <font>
      <name val="Segoe UI"/>
      <b val="1"/>
      <color rgb="00800000"/>
      <sz val="16"/>
    </font>
    <font>
      <name val="Segoe UI"/>
      <i val="1"/>
      <color rgb="0064748B"/>
      <sz val="10"/>
    </font>
    <font>
      <name val="Segoe UI"/>
      <b val="1"/>
      <color rgb="0064748B"/>
      <sz val="9"/>
    </font>
    <font>
      <name val="Segoe UI"/>
      <b val="1"/>
      <color rgb="00800000"/>
      <sz val="18"/>
    </font>
    <font>
      <name val="Segoe UI"/>
      <b val="1"/>
      <color rgb="00FFFFFF"/>
      <sz val="11"/>
    </font>
    <font>
      <name val="Segoe UI"/>
      <b val="1"/>
      <color rgb="000F172A"/>
      <sz val="10"/>
    </font>
    <font>
      <name val="Segoe UI"/>
      <color rgb="000F172A"/>
      <sz val="10"/>
    </font>
    <font>
      <name val="Segoe UI"/>
      <b val="1"/>
      <color rgb="00800000"/>
      <sz val="11"/>
    </font>
    <font>
      <name val="Segoe UI"/>
      <b val="1"/>
      <color rgb="00166534"/>
      <sz val="10"/>
    </font>
    <font>
      <name val="Segoe UI"/>
      <b val="1"/>
      <color rgb="00475569"/>
      <sz val="10"/>
    </font>
    <font>
      <name val="Segoe UI"/>
      <b val="1"/>
      <color rgb="00854D0E"/>
      <sz val="10"/>
    </font>
  </fonts>
  <fills count="9">
    <fill>
      <patternFill/>
    </fill>
    <fill>
      <patternFill patternType="gray125"/>
    </fill>
    <fill>
      <patternFill patternType="solid">
        <fgColor rgb="00F8FAFC"/>
        <bgColor rgb="00F8FAFC"/>
      </patternFill>
    </fill>
    <fill>
      <patternFill patternType="solid">
        <fgColor rgb="00FFFFFF"/>
        <bgColor rgb="00FFFFFF"/>
      </patternFill>
    </fill>
    <fill>
      <patternFill patternType="solid">
        <fgColor rgb="00800000"/>
        <bgColor rgb="00800000"/>
      </patternFill>
    </fill>
    <fill>
      <patternFill patternType="solid">
        <fgColor rgb="00DCFCE7"/>
        <bgColor rgb="00DCFCE7"/>
      </patternFill>
    </fill>
    <fill>
      <patternFill patternType="solid">
        <fgColor rgb="00F1F5F9"/>
        <bgColor rgb="00F1F5F9"/>
      </patternFill>
    </fill>
    <fill>
      <patternFill patternType="solid">
        <fgColor rgb="00FEF9C3"/>
        <bgColor rgb="00FEF9C3"/>
      </patternFill>
    </fill>
    <fill>
      <patternFill patternType="solid">
        <fgColor rgb="005C0000"/>
        <bgColor rgb="005C0000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/>
    </xf>
    <xf numFmtId="0" fontId="3" fillId="2" borderId="0" applyAlignment="1" pivotButton="0" quotePrefix="0" xfId="0">
      <alignment horizontal="center" vertical="center"/>
    </xf>
    <xf numFmtId="0" fontId="4" fillId="3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6" fillId="0" borderId="1" pivotButton="0" quotePrefix="0" xfId="0"/>
    <xf numFmtId="0" fontId="7" fillId="0" borderId="1" pivotButton="0" quotePrefix="0" xfId="0"/>
    <xf numFmtId="0" fontId="7" fillId="0" borderId="1" applyAlignment="1" pivotButton="0" quotePrefix="0" xfId="0">
      <alignment horizontal="center"/>
    </xf>
    <xf numFmtId="0" fontId="6" fillId="0" borderId="1" applyAlignment="1" pivotButton="0" quotePrefix="0" xfId="0">
      <alignment horizontal="center"/>
    </xf>
    <xf numFmtId="0" fontId="8" fillId="0" borderId="0" pivotButton="0" quotePrefix="0" xfId="0"/>
    <xf numFmtId="0" fontId="7" fillId="0" borderId="0" pivotButton="0" quotePrefix="0" xfId="0"/>
    <xf numFmtId="0" fontId="5" fillId="4" borderId="0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/>
    </xf>
    <xf numFmtId="0" fontId="9" fillId="5" borderId="1" applyAlignment="1" pivotButton="0" quotePrefix="0" xfId="0">
      <alignment horizontal="center" vertical="center"/>
    </xf>
    <xf numFmtId="0" fontId="7" fillId="6" borderId="1" applyAlignment="1" pivotButton="0" quotePrefix="0" xfId="0">
      <alignment horizontal="center" vertical="center"/>
    </xf>
    <xf numFmtId="0" fontId="7" fillId="6" borderId="1" applyAlignment="1" pivotButton="0" quotePrefix="0" xfId="0">
      <alignment vertical="center"/>
    </xf>
    <xf numFmtId="0" fontId="10" fillId="6" borderId="1" applyAlignment="1" pivotButton="0" quotePrefix="0" xfId="0">
      <alignment horizontal="center" vertical="center"/>
    </xf>
    <xf numFmtId="0" fontId="11" fillId="7" borderId="1" applyAlignment="1" pivotButton="0" quotePrefix="0" xfId="0">
      <alignment horizontal="center" vertical="center"/>
    </xf>
    <xf numFmtId="0" fontId="5" fillId="8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4"/>
  <sheetViews>
    <sheetView showGridLines="1" workbookViewId="0">
      <selection activeCell="A1" sqref="A1"/>
    </sheetView>
  </sheetViews>
  <sheetFormatPr baseColWidth="8" defaultRowHeight="15"/>
  <cols>
    <col width="48" customWidth="1" min="1" max="1"/>
    <col width="48" customWidth="1" min="2" max="2"/>
    <col width="48" customWidth="1" min="3" max="3"/>
    <col width="48" customWidth="1" min="4" max="4"/>
    <col width="21" customWidth="1" min="5" max="5"/>
    <col width="48" customWidth="1" min="6" max="6"/>
    <col width="12" customWidth="1" min="7" max="7"/>
    <col width="48" customWidth="1" min="8" max="8"/>
    <col width="12" customWidth="1" min="9" max="9"/>
  </cols>
  <sheetData>
    <row r="1">
      <c r="A1" s="1" t="inlineStr">
        <is>
          <t>OVALENS: CAPSTONE FEATURE &amp; IMPLEMENTATION CHECKLIST</t>
        </is>
      </c>
    </row>
    <row r="2">
      <c r="A2" s="2" t="inlineStr">
        <is>
          <t>Automated Candling &amp; Sorter System • Foundation University (CCS) • Team DevIn • Methodology: DSRM + Agile</t>
        </is>
      </c>
    </row>
    <row r="3"/>
    <row r="4">
      <c r="B4" s="3" t="inlineStr">
        <is>
          <t>Total Features</t>
        </is>
      </c>
      <c r="D4" s="3" t="inlineStr">
        <is>
          <t>Completed [Done]</t>
        </is>
      </c>
      <c r="F4" s="3" t="inlineStr">
        <is>
          <t>In Progress</t>
        </is>
      </c>
      <c r="H4" s="3" t="inlineStr">
        <is>
          <t>Pending Backlog</t>
        </is>
      </c>
    </row>
    <row r="5">
      <c r="B5" s="4">
        <f>COUNTA('Master Checklist'!A4:A50)</f>
        <v/>
      </c>
      <c r="D5" s="4">
        <f>COUNTIF('Master Checklist'!H4:H50, "Done")</f>
        <v/>
      </c>
      <c r="F5" s="4">
        <f>COUNTIF('Master Checklist'!H4:H50, "In Progress")</f>
        <v/>
      </c>
      <c r="H5" s="4">
        <f>COUNTIF('Master Checklist'!H4:H50, "Backlog")</f>
        <v/>
      </c>
    </row>
    <row r="6"/>
    <row r="7"/>
    <row r="8">
      <c r="A8" s="5" t="inlineStr">
        <is>
          <t>DSRM Phase</t>
        </is>
      </c>
      <c r="B8" s="5" t="inlineStr">
        <is>
          <t>Phase Description</t>
        </is>
      </c>
      <c r="C8" s="5" t="inlineStr">
        <is>
          <t>Total Tasks</t>
        </is>
      </c>
      <c r="D8" s="5" t="inlineStr">
        <is>
          <t>Done</t>
        </is>
      </c>
      <c r="E8" s="5" t="inlineStr">
        <is>
          <t>Status</t>
        </is>
      </c>
    </row>
    <row r="9">
      <c r="A9" s="6" t="inlineStr">
        <is>
          <t>Phase 1</t>
        </is>
      </c>
      <c r="B9" s="7" t="inlineStr">
        <is>
          <t>Planning &amp; Requirements (Problem ID, Scope, Authentic Docs)</t>
        </is>
      </c>
      <c r="C9" s="8">
        <f>COUNTIF('Master Checklist'!B4:B50, "Phase 1*")</f>
        <v/>
      </c>
      <c r="D9" s="8">
        <f>COUNTIFS('Master Checklist'!B4:B50, "Phase 1*", 'Master Checklist'!H4:H50, "Done")</f>
        <v/>
      </c>
      <c r="E9" s="9" t="inlineStr">
        <is>
          <t>Complete (100%)</t>
        </is>
      </c>
    </row>
    <row r="10">
      <c r="A10" s="6" t="inlineStr">
        <is>
          <t>Phase 2</t>
        </is>
      </c>
      <c r="B10" s="7" t="inlineStr">
        <is>
          <t>Data Collection &amp; Preparation (70/15/15 Split, 3 Breeds, 3 Stages)</t>
        </is>
      </c>
      <c r="C10" s="8">
        <f>COUNTIF('Master Checklist'!B4:B50, "Phase 2*")</f>
        <v/>
      </c>
      <c r="D10" s="8">
        <f>COUNTIFS('Master Checklist'!B4:B50, "Phase 2*", 'Master Checklist'!H4:H50, "Done")</f>
        <v/>
      </c>
      <c r="E10" s="9" t="inlineStr">
        <is>
          <t>Ready for Pipeline</t>
        </is>
      </c>
    </row>
    <row r="11">
      <c r="A11" s="6" t="inlineStr">
        <is>
          <t>Phase 3</t>
        </is>
      </c>
      <c r="B11" s="7" t="inlineStr">
        <is>
          <t>YOLOv8 Vision Model &amp; ONNX FP16 Slim Optimization (&lt;=200ms)</t>
        </is>
      </c>
      <c r="C11" s="8">
        <f>COUNTIF('Master Checklist'!B4:B50, "Phase 3*")</f>
        <v/>
      </c>
      <c r="D11" s="8">
        <f>COUNTIFS('Master Checklist'!B4:B50, "Phase 3*", 'Master Checklist'!H4:H50, "Done")</f>
        <v/>
      </c>
      <c r="E11" s="9" t="inlineStr">
        <is>
          <t>In Progress</t>
        </is>
      </c>
    </row>
    <row r="12">
      <c r="A12" s="6" t="inlineStr">
        <is>
          <t>Phase 4A</t>
        </is>
      </c>
      <c r="B12" s="7" t="inlineStr">
        <is>
          <t>Firmware &amp; Electromechanical Sorter (ESP32, Stepper, Servos)</t>
        </is>
      </c>
      <c r="C12" s="8">
        <f>COUNTIF('Master Checklist'!B4:B50, "Phase 4A*")</f>
        <v/>
      </c>
      <c r="D12" s="8">
        <f>COUNTIFS('Master Checklist'!B4:B50, "Phase 4A*", 'Master Checklist'!H4:H50, "Done")</f>
        <v/>
      </c>
      <c r="E12" s="9" t="inlineStr">
        <is>
          <t>In Progress</t>
        </is>
      </c>
    </row>
    <row r="13">
      <c r="A13" s="6" t="inlineStr">
        <is>
          <t>Phase 4B</t>
        </is>
      </c>
      <c r="B13" s="7" t="inlineStr">
        <is>
          <t>Edge CV Controller &amp; Desktop UI (Cradle Tracking, WAL SQLite)</t>
        </is>
      </c>
      <c r="C13" s="8">
        <f>COUNTIF('Master Checklist'!B4:B50, "Phase 4B*")</f>
        <v/>
      </c>
      <c r="D13" s="8">
        <f>COUNTIFS('Master Checklist'!B4:B50, "Phase 4B*", 'Master Checklist'!H4:H50, "Done")</f>
        <v/>
      </c>
      <c r="E13" s="9" t="inlineStr">
        <is>
          <t>In Progress</t>
        </is>
      </c>
    </row>
    <row r="14">
      <c r="A14" s="6" t="inlineStr">
        <is>
          <t>Phase 4C</t>
        </is>
      </c>
      <c r="B14" s="7" t="inlineStr">
        <is>
          <t>Central Backend &amp; Database (FastAPI, PostgreSQL 16, Penoy Calc)</t>
        </is>
      </c>
      <c r="C14" s="8">
        <f>COUNTIF('Master Checklist'!B4:B50, "Phase 4C*")</f>
        <v/>
      </c>
      <c r="D14" s="8">
        <f>COUNTIFS('Master Checklist'!B4:B50, "Phase 4C*", 'Master Checklist'!H4:H50, "Done")</f>
        <v/>
      </c>
      <c r="E14" s="9" t="inlineStr">
        <is>
          <t>In Progress</t>
        </is>
      </c>
    </row>
    <row r="15">
      <c r="A15" s="6" t="inlineStr">
        <is>
          <t>Phase 4D</t>
        </is>
      </c>
      <c r="B15" s="7" t="inlineStr">
        <is>
          <t>Web Admin Dashboard (React 18, Vite, Tray Matrix, MLOps)</t>
        </is>
      </c>
      <c r="C15" s="8">
        <f>COUNTIF('Master Checklist'!B4:B50, "Phase 4D*")</f>
        <v/>
      </c>
      <c r="D15" s="8">
        <f>COUNTIFS('Master Checklist'!B4:B50, "Phase 4D*", 'Master Checklist'!H4:H50, "Done")</f>
        <v/>
      </c>
      <c r="E15" s="9" t="inlineStr">
        <is>
          <t>In Progress</t>
        </is>
      </c>
    </row>
    <row r="16">
      <c r="A16" s="6" t="inlineStr">
        <is>
          <t>Phase 5</t>
        </is>
      </c>
      <c r="B16" s="7" t="inlineStr">
        <is>
          <t>System Integration &amp; Sync Testing (Demonstration)</t>
        </is>
      </c>
      <c r="C16" s="8">
        <f>COUNTIF('Master Checklist'!B4:B50, "Phase 5*")</f>
        <v/>
      </c>
      <c r="D16" s="8">
        <f>COUNTIFS('Master Checklist'!B4:B50, "Phase 5*", 'Master Checklist'!H4:H50, "Done")</f>
        <v/>
      </c>
      <c r="E16" s="9" t="inlineStr">
        <is>
          <t>Scheduled</t>
        </is>
      </c>
    </row>
    <row r="17">
      <c r="A17" s="6" t="inlineStr">
        <is>
          <t>Phase 6</t>
        </is>
      </c>
      <c r="B17" s="7" t="inlineStr">
        <is>
          <t>Empirical Evaluation (Accuracy, Throughput, Confusion Matrix)</t>
        </is>
      </c>
      <c r="C17" s="8">
        <f>COUNTIF('Master Checklist'!B4:B50, "Phase 6*")</f>
        <v/>
      </c>
      <c r="D17" s="8">
        <f>COUNTIFS('Master Checklist'!B4:B50, "Phase 6*", 'Master Checklist'!H4:H50, "Done")</f>
        <v/>
      </c>
      <c r="E17" s="9" t="inlineStr">
        <is>
          <t>Scheduled</t>
        </is>
      </c>
    </row>
    <row r="18">
      <c r="A18" s="6" t="inlineStr">
        <is>
          <t>Phase 7</t>
        </is>
      </c>
      <c r="B18" s="7" t="inlineStr">
        <is>
          <t>Defense Communication &amp; Docker Containerization</t>
        </is>
      </c>
      <c r="C18" s="8">
        <f>COUNTIF('Master Checklist'!B4:B50, "Phase 7*")</f>
        <v/>
      </c>
      <c r="D18" s="8">
        <f>COUNTIFS('Master Checklist'!B4:B50, "Phase 7*", 'Master Checklist'!H4:H50, "Done")</f>
        <v/>
      </c>
      <c r="E18" s="9" t="inlineStr">
        <is>
          <t>Scheduled</t>
        </is>
      </c>
    </row>
    <row r="19"/>
    <row r="20"/>
    <row r="21">
      <c r="A21" s="10" t="inlineStr">
        <is>
          <t>Agent Partnership Workflow:</t>
        </is>
      </c>
    </row>
    <row r="22">
      <c r="A22" s="11" t="inlineStr">
        <is>
          <t>• Antigravity (Orchestrator): Defines architecture, task contracts, review gates, automated test execution, and Git commits.</t>
        </is>
      </c>
    </row>
    <row r="23">
      <c r="A23" s="11" t="inlineStr">
        <is>
          <t>• Codex (Implementor): Implements features, writes unit tests, and satisfies technical contracts.</t>
        </is>
      </c>
    </row>
    <row r="24">
      <c r="A24" s="11" t="inlineStr">
        <is>
          <t>• Automated Gatekeeper: python scripts/verify_and_commit.py enforces tests (backend + edge + dashboard) &amp; updates CHANGELOG.md.</t>
        </is>
      </c>
    </row>
  </sheetData>
  <mergeCells count="10">
    <mergeCell ref="F4:G4"/>
    <mergeCell ref="B5:C5"/>
    <mergeCell ref="A2:H2"/>
    <mergeCell ref="F5:G5"/>
    <mergeCell ref="D5:E5"/>
    <mergeCell ref="H5:I5"/>
    <mergeCell ref="D4:E4"/>
    <mergeCell ref="H4:I4"/>
    <mergeCell ref="A1:H1"/>
    <mergeCell ref="B4:C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43"/>
  <sheetViews>
    <sheetView showGridLines="1"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16" customWidth="1" min="3" max="3"/>
    <col width="36" customWidth="1" min="4" max="4"/>
    <col width="48" customWidth="1" min="5" max="5"/>
    <col width="22" customWidth="1" min="6" max="6"/>
    <col width="16" customWidth="1" min="7" max="7"/>
    <col width="14" customWidth="1" min="8" max="8"/>
    <col width="16" customWidth="1" min="9" max="9"/>
    <col width="38" customWidth="1" min="10" max="10"/>
  </cols>
  <sheetData>
    <row r="1"/>
    <row r="2"/>
    <row r="3" ht="28" customHeight="1">
      <c r="A3" s="12" t="inlineStr">
        <is>
          <t>Task ID</t>
        </is>
      </c>
      <c r="B3" s="12" t="inlineStr">
        <is>
          <t>DSRM Phase</t>
        </is>
      </c>
      <c r="C3" s="12" t="inlineStr">
        <is>
          <t>Subsystem</t>
        </is>
      </c>
      <c r="D3" s="12" t="inlineStr">
        <is>
          <t>Feature / Component</t>
        </is>
      </c>
      <c r="E3" s="12" t="inlineStr">
        <is>
          <t>Technical Specification &amp; Acceptance Criteria</t>
        </is>
      </c>
      <c r="F3" s="12" t="inlineStr">
        <is>
          <t>Diagram Reference</t>
        </is>
      </c>
      <c r="G3" s="12" t="inlineStr">
        <is>
          <t>Assigned Role</t>
        </is>
      </c>
      <c r="H3" s="12" t="inlineStr">
        <is>
          <t>Status</t>
        </is>
      </c>
      <c r="I3" s="12" t="inlineStr">
        <is>
          <t>Priority</t>
        </is>
      </c>
      <c r="J3" s="12" t="inlineStr">
        <is>
          <t>Automated Test / Verification</t>
        </is>
      </c>
    </row>
    <row r="4" ht="22" customHeight="1">
      <c r="A4" s="13" t="inlineStr">
        <is>
          <t>TASK-101</t>
        </is>
      </c>
      <c r="B4" s="13" t="inlineStr">
        <is>
          <t>Phase 1: Planning</t>
        </is>
      </c>
      <c r="C4" s="14" t="inlineStr">
        <is>
          <t>Docs / Specs</t>
        </is>
      </c>
      <c r="D4" s="14" t="inlineStr">
        <is>
          <t>Authentic Capstone Manuscript Integration</t>
        </is>
      </c>
      <c r="E4" s="14" t="inlineStr">
        <is>
          <t>Parse DevIn (2026).md into Chapters 1, 2, 3, 6 with 15 APA 7 citations and official Title/Approval Sheet</t>
        </is>
      </c>
      <c r="F4" s="14" t="inlineStr">
        <is>
          <t>Manuscript 00-06</t>
        </is>
      </c>
      <c r="G4" s="13" t="inlineStr">
        <is>
          <t>Antigravity</t>
        </is>
      </c>
      <c r="H4" s="15" t="inlineStr">
        <is>
          <t>Done</t>
        </is>
      </c>
      <c r="I4" s="13" t="inlineStr">
        <is>
          <t>P0 - Critical</t>
        </is>
      </c>
      <c r="J4" s="14" t="inlineStr">
        <is>
          <t>docs/manuscript/*.md review</t>
        </is>
      </c>
    </row>
    <row r="5" ht="22" customHeight="1">
      <c r="A5" s="16" t="inlineStr">
        <is>
          <t>TASK-102</t>
        </is>
      </c>
      <c r="B5" s="16" t="inlineStr">
        <is>
          <t>Phase 1: Planning</t>
        </is>
      </c>
      <c r="C5" s="17" t="inlineStr">
        <is>
          <t>Architecture</t>
        </is>
      </c>
      <c r="D5" s="17" t="inlineStr">
        <is>
          <t>Import &amp; Catalog Academic Diagrams</t>
        </is>
      </c>
      <c r="E5" s="17" t="inlineStr">
        <is>
          <t>Embed and convert IPO Matrix, DSRM Methodology, System Flowchart, and Use Case diagrams (.drawio &amp; .html)</t>
        </is>
      </c>
      <c r="F5" s="17" t="inlineStr">
        <is>
          <t>All 4 Diagrams</t>
        </is>
      </c>
      <c r="G5" s="16" t="inlineStr">
        <is>
          <t>Antigravity</t>
        </is>
      </c>
      <c r="H5" s="15" t="inlineStr">
        <is>
          <t>Done</t>
        </is>
      </c>
      <c r="I5" s="16" t="inlineStr">
        <is>
          <t>P0 - Critical</t>
        </is>
      </c>
      <c r="J5" s="17" t="inlineStr">
        <is>
          <t>docs/diagrams catalog audit</t>
        </is>
      </c>
    </row>
    <row r="6" ht="22" customHeight="1">
      <c r="A6" s="13" t="inlineStr">
        <is>
          <t>TASK-103</t>
        </is>
      </c>
      <c r="B6" s="13" t="inlineStr">
        <is>
          <t>Phase 1: Planning</t>
        </is>
      </c>
      <c r="C6" s="14" t="inlineStr">
        <is>
          <t>Workflow</t>
        </is>
      </c>
      <c r="D6" s="14" t="inlineStr">
        <is>
          <t>Two-Tier Agent Workflow &amp; Automated Quality Gate</t>
        </is>
      </c>
      <c r="E6" s="14" t="inlineStr">
        <is>
          <t>Establish Antigravity + Codex partnership, PROJECT_PLAN.md, CHANGELOG.md, and verify_and_commit.py</t>
        </is>
      </c>
      <c r="F6" s="14" t="inlineStr">
        <is>
          <t>PROJECT_PLAN.md</t>
        </is>
      </c>
      <c r="G6" s="13" t="inlineStr">
        <is>
          <t>Antigravity</t>
        </is>
      </c>
      <c r="H6" s="15" t="inlineStr">
        <is>
          <t>Done</t>
        </is>
      </c>
      <c r="I6" s="13" t="inlineStr">
        <is>
          <t>P0 - Critical</t>
        </is>
      </c>
      <c r="J6" s="14" t="inlineStr">
        <is>
          <t>python scripts/verify_and_commit.py</t>
        </is>
      </c>
    </row>
    <row r="7" ht="22" customHeight="1">
      <c r="A7" s="16" t="inlineStr">
        <is>
          <t>TASK-201</t>
        </is>
      </c>
      <c r="B7" s="16" t="inlineStr">
        <is>
          <t>Phase 2: Dataset</t>
        </is>
      </c>
      <c r="C7" s="17" t="inlineStr">
        <is>
          <t>Data Pipeline</t>
        </is>
      </c>
      <c r="D7" s="17" t="inlineStr">
        <is>
          <t>Dataset Ingestion &amp; Stratification Script</t>
        </is>
      </c>
      <c r="E7" s="17" t="inlineStr">
        <is>
          <t>Stratify raw candling dataset 70% Train, 15% Val, 15% Test across IP-Itim, IP-Khaki, IP-Kayumanggi and Day 10, 18, 25</t>
        </is>
      </c>
      <c r="F7" s="17" t="inlineStr">
        <is>
          <t>IPO Matrix / Meth</t>
        </is>
      </c>
      <c r="G7" s="16" t="inlineStr">
        <is>
          <t>Codex</t>
        </is>
      </c>
      <c r="H7" s="18" t="inlineStr">
        <is>
          <t>Backlog</t>
        </is>
      </c>
      <c r="I7" s="16" t="inlineStr">
        <is>
          <t>P1 - High</t>
        </is>
      </c>
      <c r="J7" s="17" t="inlineStr">
        <is>
          <t>test_dataset_stratification.py</t>
        </is>
      </c>
    </row>
    <row r="8" ht="22" customHeight="1">
      <c r="A8" s="13" t="inlineStr">
        <is>
          <t>TASK-202</t>
        </is>
      </c>
      <c r="B8" s="13" t="inlineStr">
        <is>
          <t>Phase 2: Dataset</t>
        </is>
      </c>
      <c r="C8" s="14" t="inlineStr">
        <is>
          <t>Data Pipeline</t>
        </is>
      </c>
      <c r="D8" s="14" t="inlineStr">
        <is>
          <t>Whole-Egg YOLO Annotation Validator</t>
        </is>
      </c>
      <c r="E8" s="14" t="inlineStr">
        <is>
          <t>Verify YOLO darknet format [class_id, x_center, y_center, w, h] ensuring bounding box encloses full egg</t>
        </is>
      </c>
      <c r="F8" s="14" t="inlineStr">
        <is>
          <t>IPO Matrix</t>
        </is>
      </c>
      <c r="G8" s="13" t="inlineStr">
        <is>
          <t>Codex</t>
        </is>
      </c>
      <c r="H8" s="18" t="inlineStr">
        <is>
          <t>Backlog</t>
        </is>
      </c>
      <c r="I8" s="13" t="inlineStr">
        <is>
          <t>P1 - High</t>
        </is>
      </c>
      <c r="J8" s="14" t="inlineStr">
        <is>
          <t>test_annotation_bounds.py</t>
        </is>
      </c>
    </row>
    <row r="9" ht="22" customHeight="1">
      <c r="A9" s="16" t="inlineStr">
        <is>
          <t>TASK-203</t>
        </is>
      </c>
      <c r="B9" s="16" t="inlineStr">
        <is>
          <t>Phase 2: Dataset</t>
        </is>
      </c>
      <c r="C9" s="17" t="inlineStr">
        <is>
          <t>Data Pipeline</t>
        </is>
      </c>
      <c r="D9" s="17" t="inlineStr">
        <is>
          <t>Augmentation Pipeline (HSV + Geometric)</t>
        </is>
      </c>
      <c r="E9" s="17" t="inlineStr">
        <is>
          <t>Apply +/-15 deg rotation, vertical/horizontal flips, and HSV luminance jitter to simulate candling transillumination</t>
        </is>
      </c>
      <c r="F9" s="17" t="inlineStr">
        <is>
          <t>Chapter 3.2</t>
        </is>
      </c>
      <c r="G9" s="16" t="inlineStr">
        <is>
          <t>Codex</t>
        </is>
      </c>
      <c r="H9" s="18" t="inlineStr">
        <is>
          <t>Backlog</t>
        </is>
      </c>
      <c r="I9" s="16" t="inlineStr">
        <is>
          <t>P2 - Medium</t>
        </is>
      </c>
      <c r="J9" s="17" t="inlineStr">
        <is>
          <t>test_augmentation_visuals.py</t>
        </is>
      </c>
    </row>
    <row r="10" ht="22" customHeight="1">
      <c r="A10" s="13" t="inlineStr">
        <is>
          <t>TASK-204</t>
        </is>
      </c>
      <c r="B10" s="13" t="inlineStr">
        <is>
          <t>Phase 2: Dataset</t>
        </is>
      </c>
      <c r="C10" s="14" t="inlineStr">
        <is>
          <t>Data Pipeline</t>
        </is>
      </c>
      <c r="D10" s="14" t="inlineStr">
        <is>
          <t>Dataset Distribution Summary Exporter</t>
        </is>
      </c>
      <c r="E10" s="14" t="inlineStr">
        <is>
          <t>Generate automated Markdown and LaTeX tables of egg counts per breed/day for Chapter 3 &amp; 4 manuscript</t>
        </is>
      </c>
      <c r="F10" s="14" t="inlineStr">
        <is>
          <t>Chapter 3.2</t>
        </is>
      </c>
      <c r="G10" s="13" t="inlineStr">
        <is>
          <t>Codex</t>
        </is>
      </c>
      <c r="H10" s="18" t="inlineStr">
        <is>
          <t>Backlog</t>
        </is>
      </c>
      <c r="I10" s="13" t="inlineStr">
        <is>
          <t>P2 - Medium</t>
        </is>
      </c>
      <c r="J10" s="14" t="inlineStr">
        <is>
          <t>python scripts/export_dataset_table.py</t>
        </is>
      </c>
    </row>
    <row r="11" ht="22" customHeight="1">
      <c r="A11" s="16" t="inlineStr">
        <is>
          <t>TASK-301</t>
        </is>
      </c>
      <c r="B11" s="16" t="inlineStr">
        <is>
          <t>Phase 3: AI Vision</t>
        </is>
      </c>
      <c r="C11" s="17" t="inlineStr">
        <is>
          <t>Edge CV</t>
        </is>
      </c>
      <c r="D11" s="17" t="inlineStr">
        <is>
          <t>YOLOv8 Nano/Small Training Script</t>
        </is>
      </c>
      <c r="E11" s="17" t="inlineStr">
        <is>
          <t>Implement Ultralytics training pipeline with CIoU Bounding Box Loss, BCE Classification Loss, and DFL</t>
        </is>
      </c>
      <c r="F11" s="17" t="inlineStr">
        <is>
          <t>Methodology 3.3</t>
        </is>
      </c>
      <c r="G11" s="16" t="inlineStr">
        <is>
          <t>Codex</t>
        </is>
      </c>
      <c r="H11" s="18" t="inlineStr">
        <is>
          <t>Backlog</t>
        </is>
      </c>
      <c r="I11" s="16" t="inlineStr">
        <is>
          <t>P1 - High</t>
        </is>
      </c>
      <c r="J11" s="17" t="inlineStr">
        <is>
          <t>train_yolov8.py smoke test</t>
        </is>
      </c>
    </row>
    <row r="12" ht="22" customHeight="1">
      <c r="A12" s="13" t="inlineStr">
        <is>
          <t>TASK-302</t>
        </is>
      </c>
      <c r="B12" s="13" t="inlineStr">
        <is>
          <t>Phase 3: AI Vision</t>
        </is>
      </c>
      <c r="C12" s="14" t="inlineStr">
        <is>
          <t>Edge CV</t>
        </is>
      </c>
      <c r="D12" s="14" t="inlineStr">
        <is>
          <t>ONNX FP16 Slim Export &amp; Half-Precision Graph</t>
        </is>
      </c>
      <c r="E12" s="14" t="inlineStr">
        <is>
          <t>Convert PyTorch weights to ONNX FP16 slim graph with fixed input dimensions (640x640) for edge speedup</t>
        </is>
      </c>
      <c r="F12" s="14" t="inlineStr">
        <is>
          <t>AGENTS.md Tenet 3</t>
        </is>
      </c>
      <c r="G12" s="13" t="inlineStr">
        <is>
          <t>Codex</t>
        </is>
      </c>
      <c r="H12" s="19" t="inlineStr">
        <is>
          <t>In Progress</t>
        </is>
      </c>
      <c r="I12" s="13" t="inlineStr">
        <is>
          <t>test_inference_engine_and_latency_benchmark</t>
        </is>
      </c>
    </row>
    <row r="13" ht="22" customHeight="1">
      <c r="A13" s="16" t="inlineStr">
        <is>
          <t>TASK-303</t>
        </is>
      </c>
      <c r="B13" s="16" t="inlineStr">
        <is>
          <t>Phase 3: AI Vision</t>
        </is>
      </c>
      <c r="C13" s="17" t="inlineStr">
        <is>
          <t>Edge CV</t>
        </is>
      </c>
      <c r="D13" s="17" t="inlineStr">
        <is>
          <t>Edge Latency Profiler (&lt;=200ms SLA)</t>
        </is>
      </c>
      <c r="E13" s="17" t="inlineStr">
        <is>
          <t>Measure inference latency across 100 iterations on target hardware; enforce &lt;= 200 ms SLA constraint</t>
        </is>
      </c>
      <c r="F13" s="17" t="inlineStr">
        <is>
          <t>System Flowchart</t>
        </is>
      </c>
      <c r="G13" s="16" t="inlineStr">
        <is>
          <t>Codex</t>
        </is>
      </c>
      <c r="H13" s="19" t="inlineStr">
        <is>
          <t>In Progress</t>
        </is>
      </c>
      <c r="I13" s="16" t="inlineStr">
        <is>
          <t>pytest test_edge_pipeline.py</t>
        </is>
      </c>
    </row>
    <row r="14" ht="22" customHeight="1">
      <c r="A14" s="13" t="inlineStr">
        <is>
          <t>TASK-304</t>
        </is>
      </c>
      <c r="B14" s="13" t="inlineStr">
        <is>
          <t>Phase 3: AI Vision</t>
        </is>
      </c>
      <c r="C14" s="14" t="inlineStr">
        <is>
          <t>Edge CV</t>
        </is>
      </c>
      <c r="D14" s="14" t="inlineStr">
        <is>
          <t>Disaggregated Subgroup Evaluator</t>
        </is>
      </c>
      <c r="E14" s="14" t="inlineStr">
        <is>
          <t>Calculate Precision, Recall, F1, mAP50-95 broken down by genetic group (Itim/Khaki/Kayumanggi) and stage (Day 10/18/25)</t>
        </is>
      </c>
      <c r="F14" s="14" t="inlineStr">
        <is>
          <t>IPO Matrix</t>
        </is>
      </c>
      <c r="G14" s="13" t="inlineStr">
        <is>
          <t>Codex</t>
        </is>
      </c>
      <c r="H14" s="18" t="inlineStr">
        <is>
          <t>Backlog</t>
        </is>
      </c>
      <c r="I14" s="13" t="inlineStr">
        <is>
          <t>test_subgroup_metrics.py</t>
        </is>
      </c>
    </row>
    <row r="15" ht="22" customHeight="1">
      <c r="A15" s="16" t="inlineStr">
        <is>
          <t>TASK-401</t>
        </is>
      </c>
      <c r="B15" s="16" t="inlineStr">
        <is>
          <t>Phase 4A: Firmware</t>
        </is>
      </c>
      <c r="C15" s="17" t="inlineStr">
        <is>
          <t>ESP32 IoT</t>
        </is>
      </c>
      <c r="D15" s="17" t="inlineStr">
        <is>
          <t>Optical Sensor Hardware Interrupt &amp; Debounce</t>
        </is>
      </c>
      <c r="E15" s="17" t="inlineStr">
        <is>
          <t>Configure GPIO 14 with 600ms hardware optical beam-break debounce lockout window</t>
        </is>
      </c>
      <c r="F15" s="17" t="inlineStr">
        <is>
          <t>System Flowchart</t>
        </is>
      </c>
      <c r="G15" s="16" t="inlineStr">
        <is>
          <t>Codex</t>
        </is>
      </c>
      <c r="H15" s="15" t="inlineStr">
        <is>
          <t>Done</t>
        </is>
      </c>
      <c r="I15" s="16" t="inlineStr">
        <is>
          <t>P0 - Critical</t>
        </is>
      </c>
      <c r="J15" s="17" t="inlineStr">
        <is>
          <t>esp32_actuator.ino review</t>
        </is>
      </c>
    </row>
    <row r="16" ht="22" customHeight="1">
      <c r="A16" s="13" t="inlineStr">
        <is>
          <t>TASK-402</t>
        </is>
      </c>
      <c r="B16" s="13" t="inlineStr">
        <is>
          <t>Phase 4A: Firmware</t>
        </is>
      </c>
      <c r="C16" s="14" t="inlineStr">
        <is>
          <t>ESP32 IoT</t>
        </is>
      </c>
      <c r="D16" s="14" t="inlineStr">
        <is>
          <t>Indexed Stepper Motor Pocket Transport Driver</t>
        </is>
      </c>
      <c r="E16" s="14" t="inlineStr">
        <is>
          <t>Control pocket-conveyor indexed movement with cradle-by-cradle pause at candling illumination station</t>
        </is>
      </c>
      <c r="F16" s="14" t="inlineStr">
        <is>
          <t>System Flowchart</t>
        </is>
      </c>
      <c r="G16" s="13" t="inlineStr">
        <is>
          <t>Codex</t>
        </is>
      </c>
      <c r="H16" s="18" t="inlineStr">
        <is>
          <t>Backlog</t>
        </is>
      </c>
      <c r="I16" s="13" t="inlineStr">
        <is>
          <t>P0 - Critical</t>
        </is>
      </c>
      <c r="J16" s="14" t="inlineStr">
        <is>
          <t>Firmware bench test</t>
        </is>
      </c>
    </row>
    <row r="17" ht="22" customHeight="1">
      <c r="A17" s="16" t="inlineStr">
        <is>
          <t>TASK-403</t>
        </is>
      </c>
      <c r="B17" s="16" t="inlineStr">
        <is>
          <t>Phase 4A: Firmware</t>
        </is>
      </c>
      <c r="C17" s="17" t="inlineStr">
        <is>
          <t>ESP32 IoT</t>
        </is>
      </c>
      <c r="D17" s="17" t="inlineStr">
        <is>
          <t>Multi-Servo Sorter Gate Actuator</t>
        </is>
      </c>
      <c r="E17" s="17" t="inlineStr">
        <is>
          <t>Divert eggs to Fertile (cushioned tray), Infertile (Penoy salvage @ P14), and Abnormal (discard bin)</t>
        </is>
      </c>
      <c r="F17" s="17" t="inlineStr">
        <is>
          <t>System Flowchart</t>
        </is>
      </c>
      <c r="G17" s="16" t="inlineStr">
        <is>
          <t>Codex</t>
        </is>
      </c>
      <c r="H17" s="18" t="inlineStr">
        <is>
          <t>Backlog</t>
        </is>
      </c>
      <c r="I17" s="16" t="inlineStr">
        <is>
          <t>P0 - Critical</t>
        </is>
      </c>
      <c r="J17" s="17" t="inlineStr">
        <is>
          <t>test_esp32_serial_mock_and_motor_commands</t>
        </is>
      </c>
    </row>
    <row r="18" ht="22" customHeight="1">
      <c r="A18" s="13" t="inlineStr">
        <is>
          <t>TASK-404</t>
        </is>
      </c>
      <c r="B18" s="13" t="inlineStr">
        <is>
          <t>Phase 4A: Firmware</t>
        </is>
      </c>
      <c r="C18" s="14" t="inlineStr">
        <is>
          <t>ESP32 IoT</t>
        </is>
      </c>
      <c r="D18" s="14" t="inlineStr">
        <is>
          <t>Non-Blocking UART Serial Protocol (115200)</t>
        </is>
      </c>
      <c r="E18" s="14" t="inlineStr">
        <is>
          <t>Implement non-blocking UART command parser with checksum and ACK/NACK responses</t>
        </is>
      </c>
      <c r="F18" s="14" t="inlineStr">
        <is>
          <t>AGENTS.md Firmware</t>
        </is>
      </c>
      <c r="G18" s="13" t="inlineStr">
        <is>
          <t>Codex</t>
        </is>
      </c>
      <c r="H18" s="19" t="inlineStr">
        <is>
          <t>In Progress</t>
        </is>
      </c>
      <c r="I18" s="13" t="inlineStr">
        <is>
          <t>test_esp32_serial_mock_and_motor_commands</t>
        </is>
      </c>
    </row>
    <row r="19" ht="22" customHeight="1">
      <c r="A19" s="16" t="inlineStr">
        <is>
          <t>TASK-405</t>
        </is>
      </c>
      <c r="B19" s="16" t="inlineStr">
        <is>
          <t>Phase 4B: Edge App</t>
        </is>
      </c>
      <c r="C19" s="17" t="inlineStr">
        <is>
          <t>Edge CV</t>
        </is>
      </c>
      <c r="D19" s="17" t="inlineStr">
        <is>
          <t>Multi-Threaded Concurrency Core</t>
        </is>
      </c>
      <c r="E19" s="17" t="inlineStr">
        <is>
          <t>Implement 4-thread non-blocking architecture: Frame Grabber, ONNX Inference, Serial Worker, SQLite Sync</t>
        </is>
      </c>
      <c r="F19" s="17" t="inlineStr">
        <is>
          <t>AGENTS.md Edge</t>
        </is>
      </c>
      <c r="G19" s="16" t="inlineStr">
        <is>
          <t>Codex</t>
        </is>
      </c>
      <c r="H19" s="15" t="inlineStr">
        <is>
          <t>Done</t>
        </is>
      </c>
      <c r="I19" s="16" t="inlineStr">
        <is>
          <t>P0 - Critical</t>
        </is>
      </c>
      <c r="J19" s="17" t="inlineStr">
        <is>
          <t>test_edge_pipeline.py (8/8 passed)</t>
        </is>
      </c>
    </row>
    <row r="20" ht="22" customHeight="1">
      <c r="A20" s="13" t="inlineStr">
        <is>
          <t>TASK-406</t>
        </is>
      </c>
      <c r="B20" s="13" t="inlineStr">
        <is>
          <t>Phase 4B: Edge App</t>
        </is>
      </c>
      <c r="C20" s="14" t="inlineStr">
        <is>
          <t>Edge CV</t>
        </is>
      </c>
      <c r="D20" s="14" t="inlineStr">
        <is>
          <t>Local SQLite Store with WAL Mode</t>
        </is>
      </c>
      <c r="E20" s="14" t="inlineStr">
        <is>
          <t>Atomic local scan persistence before network sync; PRAGMA journal_mode = WAL;</t>
        </is>
      </c>
      <c r="F20" s="14" t="inlineStr">
        <is>
          <t>AGENTS.md Edge</t>
        </is>
      </c>
      <c r="G20" s="13" t="inlineStr">
        <is>
          <t>Codex</t>
        </is>
      </c>
      <c r="H20" s="15" t="inlineStr">
        <is>
          <t>Done</t>
        </is>
      </c>
      <c r="I20" s="13" t="inlineStr">
        <is>
          <t>P0 - Critical</t>
        </is>
      </c>
      <c r="J20" s="14" t="inlineStr">
        <is>
          <t>test_local_sqlite_wal_and_queue_diagnostics</t>
        </is>
      </c>
    </row>
    <row r="21" ht="22" customHeight="1">
      <c r="A21" s="16" t="inlineStr">
        <is>
          <t>TASK-407</t>
        </is>
      </c>
      <c r="B21" s="16" t="inlineStr">
        <is>
          <t>Phase 4B: Edge App</t>
        </is>
      </c>
      <c r="C21" s="17" t="inlineStr">
        <is>
          <t>Edge CV</t>
        </is>
      </c>
      <c r="D21" s="17" t="inlineStr">
        <is>
          <t>Cradle Tracking &amp; Queue Association</t>
        </is>
      </c>
      <c r="E21" s="17" t="inlineStr">
        <is>
          <t>Maintain FIFO cradle queue mapping physical cradle ID to image capture, prediction, and diverter timing</t>
        </is>
      </c>
      <c r="F21" s="17" t="inlineStr">
        <is>
          <t>System Flowchart</t>
        </is>
      </c>
      <c r="G21" s="16" t="inlineStr">
        <is>
          <t>Codex</t>
        </is>
      </c>
      <c r="H21" s="19" t="inlineStr">
        <is>
          <t>In Progress</t>
        </is>
      </c>
      <c r="I21" s="16" t="inlineStr">
        <is>
          <t>test_cradle_tracking_queue.py</t>
        </is>
      </c>
    </row>
    <row r="22" ht="22" customHeight="1">
      <c r="A22" s="13" t="inlineStr">
        <is>
          <t>TASK-408</t>
        </is>
      </c>
      <c r="B22" s="13" t="inlineStr">
        <is>
          <t>Phase 4B: Edge App</t>
        </is>
      </c>
      <c r="C22" s="14" t="inlineStr">
        <is>
          <t>Edge CV</t>
        </is>
      </c>
      <c r="D22" s="14" t="inlineStr">
        <is>
          <t>Manual Review Fallback State Machine</t>
        </is>
      </c>
      <c r="E22" s="14" t="inlineStr">
        <is>
          <t>Flag low-confidence (&lt;0.75) or invalid captures; prompt operator override or route to inspection lane</t>
        </is>
      </c>
      <c r="F22" s="14" t="inlineStr">
        <is>
          <t>System Flowchart</t>
        </is>
      </c>
      <c r="G22" s="13" t="inlineStr">
        <is>
          <t>Codex</t>
        </is>
      </c>
      <c r="H22" s="19" t="inlineStr">
        <is>
          <t>In Progress</t>
        </is>
      </c>
      <c r="I22" s="13" t="inlineStr">
        <is>
          <t>test_manual_review_fallback.py</t>
        </is>
      </c>
    </row>
    <row r="23" ht="22" customHeight="1">
      <c r="A23" s="16" t="inlineStr">
        <is>
          <t>TASK-409</t>
        </is>
      </c>
      <c r="B23" s="16" t="inlineStr">
        <is>
          <t>Phase 4B: Edge App</t>
        </is>
      </c>
      <c r="C23" s="17" t="inlineStr">
        <is>
          <t>Edge CV</t>
        </is>
      </c>
      <c r="D23" s="17" t="inlineStr">
        <is>
          <t>CustomTkinter 60 FPS Operator Desktop UI</t>
        </is>
      </c>
      <c r="E23" s="17" t="inlineStr">
        <is>
          <t>Real-time inspection stream, live cradle status, session stats, manual review modal, and emergency stop</t>
        </is>
      </c>
      <c r="F23" s="17" t="inlineStr">
        <is>
          <t>Use Case: Worker</t>
        </is>
      </c>
      <c r="G23" s="16" t="inlineStr">
        <is>
          <t>Codex</t>
        </is>
      </c>
      <c r="H23" s="19" t="inlineStr">
        <is>
          <t>In Progress</t>
        </is>
      </c>
      <c r="I23" s="16" t="inlineStr">
        <is>
          <t>Desktop UI smoke run</t>
        </is>
      </c>
    </row>
    <row r="24" ht="22" customHeight="1">
      <c r="A24" s="13" t="inlineStr">
        <is>
          <t>TASK-410</t>
        </is>
      </c>
      <c r="B24" s="13" t="inlineStr">
        <is>
          <t>Phase 4C: Backend</t>
        </is>
      </c>
      <c r="C24" s="14" t="inlineStr">
        <is>
          <t>REST API</t>
        </is>
      </c>
      <c r="D24" s="14" t="inlineStr">
        <is>
          <t>FastAPI Core &amp; Declarative Database Models</t>
        </is>
      </c>
      <c r="E24" s="14" t="inlineStr">
        <is>
          <t>SQLAlchemy 2.0 declarative models for User, Device, Batch, Session, Scan with PostgreSQL 16 schema</t>
        </is>
      </c>
      <c r="F24" s="14" t="inlineStr">
        <is>
          <t>AGENTS.md Backend</t>
        </is>
      </c>
      <c r="G24" s="13" t="inlineStr">
        <is>
          <t>Codex</t>
        </is>
      </c>
      <c r="H24" s="15" t="inlineStr">
        <is>
          <t>Done</t>
        </is>
      </c>
      <c r="I24" s="13" t="inlineStr">
        <is>
          <t>P0 - Critical</t>
        </is>
      </c>
      <c r="J24" s="14" t="inlineStr">
        <is>
          <t>test_api.py (13/13 passed)</t>
        </is>
      </c>
    </row>
    <row r="25" ht="22" customHeight="1">
      <c r="A25" s="16" t="inlineStr">
        <is>
          <t>TASK-411</t>
        </is>
      </c>
      <c r="B25" s="16" t="inlineStr">
        <is>
          <t>Phase 4C: Backend</t>
        </is>
      </c>
      <c r="C25" s="17" t="inlineStr">
        <is>
          <t>REST API</t>
        </is>
      </c>
      <c r="D25" s="17" t="inlineStr">
        <is>
          <t>Idempotent Batch Scan Ingestion Endpoint</t>
        </is>
      </c>
      <c r="E25" s="17" t="inlineStr">
        <is>
          <t>POST /api/v1/scans/batch with ON CONFLICT (scan_id) DO NOTHING to absorb duplicate sync packets safely</t>
        </is>
      </c>
      <c r="F25" s="17" t="inlineStr">
        <is>
          <t>AGENTS.md Backend</t>
        </is>
      </c>
      <c r="G25" s="16" t="inlineStr">
        <is>
          <t>Codex</t>
        </is>
      </c>
      <c r="H25" s="15" t="inlineStr">
        <is>
          <t>Done</t>
        </is>
      </c>
      <c r="I25" s="16" t="inlineStr">
        <is>
          <t>P0 - Critical</t>
        </is>
      </c>
      <c r="J25" s="17" t="inlineStr">
        <is>
          <t>test_api.py::test_analytics_overview</t>
        </is>
      </c>
    </row>
    <row r="26" ht="22" customHeight="1">
      <c r="A26" s="13" t="inlineStr">
        <is>
          <t>TASK-412</t>
        </is>
      </c>
      <c r="B26" s="13" t="inlineStr">
        <is>
          <t>Phase 4C: Backend</t>
        </is>
      </c>
      <c r="C26" s="14" t="inlineStr">
        <is>
          <t>REST API</t>
        </is>
      </c>
      <c r="D26" s="14" t="inlineStr">
        <is>
          <t>Day 10 Penoy Economic Salvage Yield Calculator</t>
        </is>
      </c>
      <c r="E26" s="14" t="inlineStr">
        <is>
          <t>Calculate real-time salvaged revenue: Penoy Count * P14.00, energy saved from culled eggs, ROI metrics</t>
        </is>
      </c>
      <c r="F26" s="14" t="inlineStr">
        <is>
          <t>AGENTS.md Tenet 3</t>
        </is>
      </c>
      <c r="G26" s="13" t="inlineStr">
        <is>
          <t>Codex</t>
        </is>
      </c>
      <c r="H26" s="15" t="inlineStr">
        <is>
          <t>Done</t>
        </is>
      </c>
      <c r="I26" s="13" t="inlineStr">
        <is>
          <t>P1 - High</t>
        </is>
      </c>
      <c r="J26" s="14" t="inlineStr">
        <is>
          <t>test_analytics_economic_yield</t>
        </is>
      </c>
    </row>
    <row r="27" ht="22" customHeight="1">
      <c r="A27" s="16" t="inlineStr">
        <is>
          <t>TASK-413</t>
        </is>
      </c>
      <c r="B27" s="16" t="inlineStr">
        <is>
          <t>Phase 4C: Backend</t>
        </is>
      </c>
      <c r="C27" s="17" t="inlineStr">
        <is>
          <t>REST API</t>
        </is>
      </c>
      <c r="D27" s="17" t="inlineStr">
        <is>
          <t>Automated PDF &amp; CSV Report Generator</t>
        </is>
      </c>
      <c r="E27" s="17" t="inlineStr">
        <is>
          <t>Generate official batch compliance reports with ReportLab and pandas for hatchery management</t>
        </is>
      </c>
      <c r="F27" s="17" t="inlineStr">
        <is>
          <t>Use Case: Supervisor</t>
        </is>
      </c>
      <c r="G27" s="16" t="inlineStr">
        <is>
          <t>Codex</t>
        </is>
      </c>
      <c r="H27" s="15" t="inlineStr">
        <is>
          <t>Done</t>
        </is>
      </c>
      <c r="I27" s="16" t="inlineStr">
        <is>
          <t>P1 - High</t>
        </is>
      </c>
      <c r="J27" s="17" t="inlineStr">
        <is>
          <t>test_pdf_and_csv_reports</t>
        </is>
      </c>
    </row>
    <row r="28" ht="22" customHeight="1">
      <c r="A28" s="13" t="inlineStr">
        <is>
          <t>TASK-414</t>
        </is>
      </c>
      <c r="B28" s="13" t="inlineStr">
        <is>
          <t>Phase 4C: Backend</t>
        </is>
      </c>
      <c r="C28" s="14" t="inlineStr">
        <is>
          <t>REST API</t>
        </is>
      </c>
      <c r="D28" s="14" t="inlineStr">
        <is>
          <t>RBAC Auth &amp; Role Separation</t>
        </is>
      </c>
      <c r="E28" s="14" t="inlineStr">
        <is>
          <t>JWT authentication with Candling Worker, Hatchery Supervisor, and System Administrator privileges</t>
        </is>
      </c>
      <c r="F28" s="14" t="inlineStr">
        <is>
          <t>Use Case Diagram</t>
        </is>
      </c>
      <c r="G28" s="13" t="inlineStr">
        <is>
          <t>Codex</t>
        </is>
      </c>
      <c r="H28" s="15" t="inlineStr">
        <is>
          <t>Done</t>
        </is>
      </c>
      <c r="I28" s="13" t="inlineStr">
        <is>
          <t>P0 - Critical</t>
        </is>
      </c>
      <c r="J28" s="14" t="inlineStr">
        <is>
          <t>test_rbac_and_admin_security_protections</t>
        </is>
      </c>
    </row>
    <row r="29" ht="22" customHeight="1">
      <c r="A29" s="16" t="inlineStr">
        <is>
          <t>TASK-415</t>
        </is>
      </c>
      <c r="B29" s="16" t="inlineStr">
        <is>
          <t>Phase 4D: Dashboard</t>
        </is>
      </c>
      <c r="C29" s="17" t="inlineStr">
        <is>
          <t>Web Portal</t>
        </is>
      </c>
      <c r="D29" s="17" t="inlineStr">
        <is>
          <t>React 18 + Vite + TS Foundation University Setup</t>
        </is>
      </c>
      <c r="E29" s="17" t="inlineStr">
        <is>
          <t>TailwindCSS styling with Foundation University maroon (#800000) and agri-green (#357a38) theme tokens</t>
        </is>
      </c>
      <c r="F29" s="17" t="inlineStr">
        <is>
          <t>AGENTS.md FU Brand</t>
        </is>
      </c>
      <c r="G29" s="16" t="inlineStr">
        <is>
          <t>Codex</t>
        </is>
      </c>
      <c r="H29" s="15" t="inlineStr">
        <is>
          <t>Done</t>
        </is>
      </c>
      <c r="I29" s="16" t="inlineStr">
        <is>
          <t>P1 - High</t>
        </is>
      </c>
      <c r="J29" s="17" t="inlineStr">
        <is>
          <t>npm.cmd run build (Clean Build)</t>
        </is>
      </c>
    </row>
    <row r="30" ht="22" customHeight="1">
      <c r="A30" s="13" t="inlineStr">
        <is>
          <t>TASK-416</t>
        </is>
      </c>
      <c r="B30" s="13" t="inlineStr">
        <is>
          <t>Phase 4D: Dashboard</t>
        </is>
      </c>
      <c r="C30" s="14" t="inlineStr">
        <is>
          <t>Web Portal</t>
        </is>
      </c>
      <c r="D30" s="14" t="inlineStr">
        <is>
          <t>Interactive 42-Slot Incubation Tray Matrix</t>
        </is>
      </c>
      <c r="E30" s="14" t="inlineStr">
        <is>
          <t>Visual representation of tray slots (A1 to F7) with color-coded biological states and tooltip inspection</t>
        </is>
      </c>
      <c r="F30" s="14" t="inlineStr">
        <is>
          <t>Use Case: Supervisor</t>
        </is>
      </c>
      <c r="G30" s="13" t="inlineStr">
        <is>
          <t>Codex</t>
        </is>
      </c>
      <c r="H30" s="15" t="inlineStr">
        <is>
          <t>Done</t>
        </is>
      </c>
      <c r="I30" s="13" t="inlineStr">
        <is>
          <t>P1 - High</t>
        </is>
      </c>
      <c r="J30" s="14" t="inlineStr">
        <is>
          <t>Dashboard UI verification</t>
        </is>
      </c>
    </row>
    <row r="31" ht="22" customHeight="1">
      <c r="A31" s="16" t="inlineStr">
        <is>
          <t>TASK-417</t>
        </is>
      </c>
      <c r="B31" s="16" t="inlineStr">
        <is>
          <t>Phase 4D: Dashboard</t>
        </is>
      </c>
      <c r="C31" s="17" t="inlineStr">
        <is>
          <t>Web Portal</t>
        </is>
      </c>
      <c r="D31" s="17" t="inlineStr">
        <is>
          <t>Live Hatchery Overview &amp; Real-Time Stats</t>
        </is>
      </c>
      <c r="E31" s="17" t="inlineStr">
        <is>
          <t>Aggregated fertility percentage, Day 10 salvage income, mortality rates, and batch comparison cards</t>
        </is>
      </c>
      <c r="F31" s="17" t="inlineStr">
        <is>
          <t>Use Case: Supervisor</t>
        </is>
      </c>
      <c r="G31" s="16" t="inlineStr">
        <is>
          <t>Codex</t>
        </is>
      </c>
      <c r="H31" s="19" t="inlineStr">
        <is>
          <t>In Progress</t>
        </is>
      </c>
      <c r="I31" s="16" t="inlineStr">
        <is>
          <t>Dashboard UI verification</t>
        </is>
      </c>
    </row>
    <row r="32" ht="22" customHeight="1">
      <c r="A32" s="13" t="inlineStr">
        <is>
          <t>TASK-418</t>
        </is>
      </c>
      <c r="B32" s="13" t="inlineStr">
        <is>
          <t>Phase 4D: Dashboard</t>
        </is>
      </c>
      <c r="C32" s="14" t="inlineStr">
        <is>
          <t>Web Portal</t>
        </is>
      </c>
      <c r="D32" s="14" t="inlineStr">
        <is>
          <t>Genetic Line &amp; Candling Stage Filter Suite</t>
        </is>
      </c>
      <c r="E32" s="14" t="inlineStr">
        <is>
          <t>Filter analytics by IP-Itim, IP-Khaki, IP-Kayumanggi and Day 10, Day 18, Day 25 candling milestones</t>
        </is>
      </c>
      <c r="F32" s="14" t="inlineStr">
        <is>
          <t>Methodology 3.1</t>
        </is>
      </c>
      <c r="G32" s="13" t="inlineStr">
        <is>
          <t>Codex</t>
        </is>
      </c>
      <c r="H32" s="19" t="inlineStr">
        <is>
          <t>In Progress</t>
        </is>
      </c>
      <c r="I32" s="13" t="inlineStr">
        <is>
          <t>Dashboard UI verification</t>
        </is>
      </c>
    </row>
    <row r="33" ht="22" customHeight="1">
      <c r="A33" s="16" t="inlineStr">
        <is>
          <t>TASK-419</t>
        </is>
      </c>
      <c r="B33" s="16" t="inlineStr">
        <is>
          <t>Phase 4D: Dashboard</t>
        </is>
      </c>
      <c r="C33" s="17" t="inlineStr">
        <is>
          <t>Web Portal</t>
        </is>
      </c>
      <c r="D33" s="17" t="inlineStr">
        <is>
          <t>Edge Sorter Heartbeat &amp; Device Manager</t>
        </is>
      </c>
      <c r="E33" s="17" t="inlineStr">
        <is>
          <t>Real-time monitoring of connected sorter rigs, serial connection status, and camera FPS diagnostics</t>
        </is>
      </c>
      <c r="F33" s="17" t="inlineStr">
        <is>
          <t>Use Case: Admin</t>
        </is>
      </c>
      <c r="G33" s="16" t="inlineStr">
        <is>
          <t>Codex</t>
        </is>
      </c>
      <c r="H33" s="18" t="inlineStr">
        <is>
          <t>Backlog</t>
        </is>
      </c>
      <c r="I33" s="16" t="inlineStr">
        <is>
          <t>P2 - Medium</t>
        </is>
      </c>
      <c r="J33" s="17" t="inlineStr">
        <is>
          <t>Dashboard UI verification</t>
        </is>
      </c>
    </row>
    <row r="34" ht="22" customHeight="1">
      <c r="A34" s="13" t="inlineStr">
        <is>
          <t>TASK-420</t>
        </is>
      </c>
      <c r="B34" s="13" t="inlineStr">
        <is>
          <t>Phase 4D: Dashboard</t>
        </is>
      </c>
      <c r="C34" s="14" t="inlineStr">
        <is>
          <t>Web Portal</t>
        </is>
      </c>
      <c r="D34" s="14" t="inlineStr">
        <is>
          <t>Audit Logs &amp; User Administration Console</t>
        </is>
      </c>
      <c r="E34" s="14" t="inlineStr">
        <is>
          <t>System Administrator view for user provisioning, permission assignment, and security audit log review</t>
        </is>
      </c>
      <c r="F34" s="14" t="inlineStr">
        <is>
          <t>Use Case: Admin</t>
        </is>
      </c>
      <c r="G34" s="13" t="inlineStr">
        <is>
          <t>Codex</t>
        </is>
      </c>
      <c r="H34" s="19" t="inlineStr">
        <is>
          <t>In Progress</t>
        </is>
      </c>
      <c r="I34" s="13" t="inlineStr">
        <is>
          <t>test_user_profile_and_password_change_flow</t>
        </is>
      </c>
    </row>
    <row r="35" ht="22" customHeight="1">
      <c r="A35" s="16" t="inlineStr">
        <is>
          <t>TASK-501</t>
        </is>
      </c>
      <c r="B35" s="16" t="inlineStr">
        <is>
          <t>Phase 5: Integration</t>
        </is>
      </c>
      <c r="C35" s="17" t="inlineStr">
        <is>
          <t>System Test</t>
        </is>
      </c>
      <c r="D35" s="17" t="inlineStr">
        <is>
          <t>End-to-End Sorting Pilot Simulation</t>
        </is>
      </c>
      <c r="E35" s="17" t="inlineStr">
        <is>
          <t>Simulate 50-egg continuous sorting cycle: load -&gt; index -&gt; capture -&gt; ONNX predict -&gt; divert -&gt; sync</t>
        </is>
      </c>
      <c r="F35" s="17" t="inlineStr">
        <is>
          <t>System Flowchart</t>
        </is>
      </c>
      <c r="G35" s="16" t="inlineStr">
        <is>
          <t>Antigravity / Codex</t>
        </is>
      </c>
      <c r="H35" s="18" t="inlineStr">
        <is>
          <t>Backlog</t>
        </is>
      </c>
      <c r="I35" s="16" t="inlineStr">
        <is>
          <t>P0 - Critical</t>
        </is>
      </c>
      <c r="J35" s="17" t="inlineStr">
        <is>
          <t>test_end_to_end_pilot.py</t>
        </is>
      </c>
    </row>
    <row r="36" ht="22" customHeight="1">
      <c r="A36" s="13" t="inlineStr">
        <is>
          <t>TASK-502</t>
        </is>
      </c>
      <c r="B36" s="13" t="inlineStr">
        <is>
          <t>Phase 5: Integration</t>
        </is>
      </c>
      <c r="C36" s="14" t="inlineStr">
        <is>
          <t>System Test</t>
        </is>
      </c>
      <c r="D36" s="14" t="inlineStr">
        <is>
          <t>Offline Network Disconnection Replay Test</t>
        </is>
      </c>
      <c r="E36" s="14" t="inlineStr">
        <is>
          <t>Cut network during sorting; confirm 100% sorting uninterrupted at edge; restore network &amp; verify bulk replay</t>
        </is>
      </c>
      <c r="F36" s="14" t="inlineStr">
        <is>
          <t>AGENTS.md Offline</t>
        </is>
      </c>
      <c r="G36" s="13" t="inlineStr">
        <is>
          <t>Antigravity / Codex</t>
        </is>
      </c>
      <c r="H36" s="18" t="inlineStr">
        <is>
          <t>Backlog</t>
        </is>
      </c>
      <c r="I36" s="13" t="inlineStr">
        <is>
          <t>P0 - Critical</t>
        </is>
      </c>
      <c r="J36" s="14" t="inlineStr">
        <is>
          <t>test_offline_network_replay.py</t>
        </is>
      </c>
    </row>
    <row r="37" ht="22" customHeight="1">
      <c r="A37" s="16" t="inlineStr">
        <is>
          <t>TASK-503</t>
        </is>
      </c>
      <c r="B37" s="16" t="inlineStr">
        <is>
          <t>Phase 5: Integration</t>
        </is>
      </c>
      <c r="C37" s="17" t="inlineStr">
        <is>
          <t>System Test</t>
        </is>
      </c>
      <c r="D37" s="17" t="inlineStr">
        <is>
          <t>Cradle Position Resync Fault Recovery Test</t>
        </is>
      </c>
      <c r="E37" s="17" t="inlineStr">
        <is>
          <t>Simulate mechanical index slip; verify conveyor pauses, triggers operator resync, and preserves egg identities</t>
        </is>
      </c>
      <c r="F37" s="17" t="inlineStr">
        <is>
          <t>System Flowchart</t>
        </is>
      </c>
      <c r="G37" s="16" t="inlineStr">
        <is>
          <t>Antigravity / Codex</t>
        </is>
      </c>
      <c r="H37" s="18" t="inlineStr">
        <is>
          <t>Backlog</t>
        </is>
      </c>
      <c r="I37" s="16" t="inlineStr">
        <is>
          <t>P1 - High</t>
        </is>
      </c>
      <c r="J37" s="17" t="inlineStr">
        <is>
          <t>test_cradle_resync_fault.py</t>
        </is>
      </c>
    </row>
    <row r="38" ht="22" customHeight="1">
      <c r="A38" s="13" t="inlineStr">
        <is>
          <t>TASK-601</t>
        </is>
      </c>
      <c r="B38" s="13" t="inlineStr">
        <is>
          <t>Phase 6: Evaluation</t>
        </is>
      </c>
      <c r="C38" s="14" t="inlineStr">
        <is>
          <t>Research Eval</t>
        </is>
      </c>
      <c r="D38" s="14" t="inlineStr">
        <is>
          <t>Physical Sorting Accuracy Benchmark</t>
        </is>
      </c>
      <c r="E38" s="14" t="inlineStr">
        <is>
          <t>Run &gt;= 100 physical egg candling trials to measure percentage of eggs correctly routed to destination trays</t>
        </is>
      </c>
      <c r="F38" s="14" t="inlineStr">
        <is>
          <t>Chapter 1 Objectives</t>
        </is>
      </c>
      <c r="G38" s="13" t="inlineStr">
        <is>
          <t>Antigravity</t>
        </is>
      </c>
      <c r="H38" s="18" t="inlineStr">
        <is>
          <t>Backlog</t>
        </is>
      </c>
      <c r="I38" s="13" t="inlineStr">
        <is>
          <t>P0 - Critical</t>
        </is>
      </c>
      <c r="J38" s="14" t="inlineStr">
        <is>
          <t>Physical trial tally sheet</t>
        </is>
      </c>
    </row>
    <row r="39" ht="22" customHeight="1">
      <c r="A39" s="16" t="inlineStr">
        <is>
          <t>TASK-602</t>
        </is>
      </c>
      <c r="B39" s="16" t="inlineStr">
        <is>
          <t>Phase 6: Evaluation</t>
        </is>
      </c>
      <c r="C39" s="17" t="inlineStr">
        <is>
          <t>Research Eval</t>
        </is>
      </c>
      <c r="D39" s="17" t="inlineStr">
        <is>
          <t>System Throughput &amp; Cycle Time Benchmarking</t>
        </is>
      </c>
      <c r="E39" s="17" t="inlineStr">
        <is>
          <t>Measure end-to-end processing time per egg and overall throughput (eggs/minute) under continuous indexing</t>
        </is>
      </c>
      <c r="F39" s="17" t="inlineStr">
        <is>
          <t>Chapter 1 Objectives</t>
        </is>
      </c>
      <c r="G39" s="16" t="inlineStr">
        <is>
          <t>Antigravity</t>
        </is>
      </c>
      <c r="H39" s="18" t="inlineStr">
        <is>
          <t>Backlog</t>
        </is>
      </c>
      <c r="I39" s="16" t="inlineStr">
        <is>
          <t>P1 - High</t>
        </is>
      </c>
      <c r="J39" s="17" t="inlineStr">
        <is>
          <t>Kinematics benchmark report</t>
        </is>
      </c>
    </row>
    <row r="40" ht="22" customHeight="1">
      <c r="A40" s="13" t="inlineStr">
        <is>
          <t>TASK-603</t>
        </is>
      </c>
      <c r="B40" s="13" t="inlineStr">
        <is>
          <t>Phase 6: Evaluation</t>
        </is>
      </c>
      <c r="C40" s="14" t="inlineStr">
        <is>
          <t>Research Eval</t>
        </is>
      </c>
      <c r="D40" s="14" t="inlineStr">
        <is>
          <t>Confusion Matrix &amp; Manuscript Chapter 4 Data</t>
        </is>
      </c>
      <c r="E40" s="14" t="inlineStr">
        <is>
          <t>Generate 3-class confusion matrix, precision/recall curves, and ROC curves for Chapter 4 Results &amp; Discussion</t>
        </is>
      </c>
      <c r="F40" s="14" t="inlineStr">
        <is>
          <t>Chapter 4 Manuscript</t>
        </is>
      </c>
      <c r="G40" s="13" t="inlineStr">
        <is>
          <t>Antigravity</t>
        </is>
      </c>
      <c r="H40" s="18" t="inlineStr">
        <is>
          <t>Backlog</t>
        </is>
      </c>
      <c r="I40" s="13" t="inlineStr">
        <is>
          <t>P0 - Critical</t>
        </is>
      </c>
      <c r="J40" s="14" t="inlineStr">
        <is>
          <t>generate_confusion_matrix.py</t>
        </is>
      </c>
    </row>
    <row r="41" ht="22" customHeight="1">
      <c r="A41" s="16" t="inlineStr">
        <is>
          <t>TASK-701</t>
        </is>
      </c>
      <c r="B41" s="16" t="inlineStr">
        <is>
          <t>Phase 7: Defense</t>
        </is>
      </c>
      <c r="C41" s="17" t="inlineStr">
        <is>
          <t>Defense Prep</t>
        </is>
      </c>
      <c r="D41" s="17" t="inlineStr">
        <is>
          <t>Manuscript Chapter 4 (Results &amp; Discussion)</t>
        </is>
      </c>
      <c r="E41" s="17" t="inlineStr">
        <is>
          <t>Draft Chapter 4 using empirical metrics, confusion matrices, latency charts, and subgroup comparisons</t>
        </is>
      </c>
      <c r="F41" s="17" t="inlineStr">
        <is>
          <t>Chapter 4</t>
        </is>
      </c>
      <c r="G41" s="16" t="inlineStr">
        <is>
          <t>Antigravity</t>
        </is>
      </c>
      <c r="H41" s="18" t="inlineStr">
        <is>
          <t>Backlog</t>
        </is>
      </c>
      <c r="I41" s="16" t="inlineStr">
        <is>
          <t>P0 - Critical</t>
        </is>
      </c>
      <c r="J41" s="17" t="inlineStr">
        <is>
          <t>Manuscript peer review</t>
        </is>
      </c>
    </row>
    <row r="42" ht="22" customHeight="1">
      <c r="A42" s="13" t="inlineStr">
        <is>
          <t>TASK-702</t>
        </is>
      </c>
      <c r="B42" s="13" t="inlineStr">
        <is>
          <t>Phase 7: Defense</t>
        </is>
      </c>
      <c r="C42" s="14" t="inlineStr">
        <is>
          <t>Defense Prep</t>
        </is>
      </c>
      <c r="D42" s="14" t="inlineStr">
        <is>
          <t>Manuscript Chapter 5 (Conclusions &amp; Recommendations)</t>
        </is>
      </c>
      <c r="E42" s="14" t="inlineStr">
        <is>
          <t>Summarize findings, answer research questions 1-4, and formulate agricultural/engineering recommendations</t>
        </is>
      </c>
      <c r="F42" s="14" t="inlineStr">
        <is>
          <t>Chapter 5</t>
        </is>
      </c>
      <c r="G42" s="13" t="inlineStr">
        <is>
          <t>Antigravity</t>
        </is>
      </c>
      <c r="H42" s="18" t="inlineStr">
        <is>
          <t>Backlog</t>
        </is>
      </c>
      <c r="I42" s="13" t="inlineStr">
        <is>
          <t>P0 - Critical</t>
        </is>
      </c>
      <c r="J42" s="14" t="inlineStr">
        <is>
          <t>Adviser review</t>
        </is>
      </c>
    </row>
    <row r="43" ht="22" customHeight="1">
      <c r="A43" s="16" t="inlineStr">
        <is>
          <t>TASK-703</t>
        </is>
      </c>
      <c r="B43" s="16" t="inlineStr">
        <is>
          <t>Phase 7: Defense</t>
        </is>
      </c>
      <c r="C43" s="17" t="inlineStr">
        <is>
          <t>Deployment</t>
        </is>
      </c>
      <c r="D43" s="17" t="inlineStr">
        <is>
          <t>1-Click Docker Production Packaging</t>
        </is>
      </c>
      <c r="E43" s="17" t="inlineStr">
        <is>
          <t>Verify docker-compose up for PostgreSQL 16, FastAPI backend, and React dashboard for live defense demo</t>
        </is>
      </c>
      <c r="F43" s="17" t="inlineStr">
        <is>
          <t>docker-compose.yml</t>
        </is>
      </c>
      <c r="G43" s="16" t="inlineStr">
        <is>
          <t>Antigravity / Codex</t>
        </is>
      </c>
      <c r="H43" s="19" t="inlineStr">
        <is>
          <t>In Progress</t>
        </is>
      </c>
      <c r="I43" s="16" t="inlineStr">
        <is>
          <t>docker-compose config test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3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42" customWidth="1" min="2" max="2"/>
    <col width="23" customWidth="1" min="3" max="3"/>
    <col width="36" customWidth="1" min="4" max="4"/>
    <col width="46" customWidth="1" min="5" max="5"/>
    <col width="14" customWidth="1" min="6" max="6"/>
    <col width="16" customWidth="1" min="7" max="7"/>
  </cols>
  <sheetData>
    <row r="1">
      <c r="A1" s="20" t="inlineStr">
        <is>
          <t>Step #</t>
        </is>
      </c>
      <c r="B1" s="20" t="inlineStr">
        <is>
          <t>Flowchart Node (Systemflow_chart_final)</t>
        </is>
      </c>
      <c r="C1" s="20" t="inlineStr">
        <is>
          <t>Subsystem</t>
        </is>
      </c>
      <c r="D1" s="20" t="inlineStr">
        <is>
          <t>Implementation Component</t>
        </is>
      </c>
      <c r="E1" s="20" t="inlineStr">
        <is>
          <t>Decision Logic / Action</t>
        </is>
      </c>
      <c r="F1" s="20" t="inlineStr">
        <is>
          <t>Status</t>
        </is>
      </c>
      <c r="G1" s="20" t="inlineStr">
        <is>
          <t>Responsible</t>
        </is>
      </c>
    </row>
    <row r="2" ht="20" customHeight="1">
      <c r="A2" s="13" t="inlineStr">
        <is>
          <t>1</t>
        </is>
      </c>
      <c r="B2" s="14" t="inlineStr">
        <is>
          <t>Open OvaLens Desktop Controller</t>
        </is>
      </c>
      <c r="C2" s="14" t="inlineStr">
        <is>
          <t>Edge UI</t>
        </is>
      </c>
      <c r="D2" s="14" t="inlineStr">
        <is>
          <t>src/ui/operator_app.py</t>
        </is>
      </c>
      <c r="E2" s="14" t="inlineStr">
        <is>
          <t>Desktop GUI initializes 60 FPS viewport and status monitors</t>
        </is>
      </c>
      <c r="F2" s="19" t="inlineStr">
        <is>
          <t>In Progress</t>
        </is>
      </c>
      <c r="G2" s="13" t="inlineStr">
        <is>
          <t>Codex</t>
        </is>
      </c>
    </row>
    <row r="3" ht="20" customHeight="1">
      <c r="A3" s="16" t="inlineStr">
        <is>
          <t>2</t>
        </is>
      </c>
      <c r="B3" s="17" t="inlineStr">
        <is>
          <t>Set Batch, Stage, and Genetic Line</t>
        </is>
      </c>
      <c r="C3" s="17" t="inlineStr">
        <is>
          <t>Edge / Backend</t>
        </is>
      </c>
      <c r="D3" s="17" t="inlineStr">
        <is>
          <t>src/ui/modals/session_dialog.py</t>
        </is>
      </c>
      <c r="E3" s="17" t="inlineStr">
        <is>
          <t>Select Batch ID, Day 10/18/25, IP-Itim/Khaki/Kayumanggi</t>
        </is>
      </c>
      <c r="F3" s="19" t="inlineStr">
        <is>
          <t>In Progress</t>
        </is>
      </c>
      <c r="G3" s="16" t="inlineStr">
        <is>
          <t>Codex</t>
        </is>
      </c>
    </row>
    <row r="4" ht="20" customHeight="1">
      <c r="A4" s="13" t="inlineStr">
        <is>
          <t>3</t>
        </is>
      </c>
      <c r="B4" s="14" t="inlineStr">
        <is>
          <t>Initialize System &amp; Ready Check</t>
        </is>
      </c>
      <c r="C4" s="14" t="inlineStr">
        <is>
          <t>Firmware / Serial</t>
        </is>
      </c>
      <c r="D4" s="14" t="inlineStr">
        <is>
          <t>src/iot/esp32_driver.py</t>
        </is>
      </c>
      <c r="E4" s="14" t="inlineStr">
        <is>
          <t>ESP32 handshake, optical sensor zeroing, servo homing</t>
        </is>
      </c>
      <c r="F4" s="19" t="inlineStr">
        <is>
          <t>In Progress</t>
        </is>
      </c>
      <c r="G4" s="13" t="inlineStr">
        <is>
          <t>Codex</t>
        </is>
      </c>
    </row>
    <row r="5" ht="20" customHeight="1">
      <c r="A5" s="16" t="inlineStr">
        <is>
          <t>4</t>
        </is>
      </c>
      <c r="B5" s="17" t="inlineStr">
        <is>
          <t>Load Egg into Available Cradle</t>
        </is>
      </c>
      <c r="C5" s="17" t="inlineStr">
        <is>
          <t>Hardware / Rig</t>
        </is>
      </c>
      <c r="D5" s="17" t="inlineStr">
        <is>
          <t>Mechanical Conveyor</t>
        </is>
      </c>
      <c r="E5" s="17" t="inlineStr">
        <is>
          <t>Manual placement of duck egg into individual cradle pocket</t>
        </is>
      </c>
      <c r="F5" s="18" t="inlineStr">
        <is>
          <t>Backlog</t>
        </is>
      </c>
      <c r="G5" s="16" t="inlineStr">
        <is>
          <t>Hardware Team</t>
        </is>
      </c>
    </row>
    <row r="6" ht="20" customHeight="1">
      <c r="A6" s="13" t="inlineStr">
        <is>
          <t>5</t>
        </is>
      </c>
      <c r="B6" s="14" t="inlineStr">
        <is>
          <t>Assign Cradle ID to Egg Record</t>
        </is>
      </c>
      <c r="C6" s="14" t="inlineStr">
        <is>
          <t>Edge Tracking</t>
        </is>
      </c>
      <c r="D6" s="14" t="inlineStr">
        <is>
          <t>src/core/cradle_tracker.py</t>
        </is>
      </c>
      <c r="E6" s="14" t="inlineStr">
        <is>
          <t>FIFO cradle tracker allocates unique cradle_id and timestamp</t>
        </is>
      </c>
      <c r="F6" s="19" t="inlineStr">
        <is>
          <t>In Progress</t>
        </is>
      </c>
      <c r="G6" s="13" t="inlineStr">
        <is>
          <t>Codex</t>
        </is>
      </c>
    </row>
    <row r="7" ht="20" customHeight="1">
      <c r="A7" s="16" t="inlineStr">
        <is>
          <t>6</t>
        </is>
      </c>
      <c r="B7" s="17" t="inlineStr">
        <is>
          <t>Index Cradle to Candling Position</t>
        </is>
      </c>
      <c r="C7" s="17" t="inlineStr">
        <is>
          <t>Firmware / Stepper</t>
        </is>
      </c>
      <c r="D7" s="17" t="inlineStr">
        <is>
          <t>firmware/esp32_actuator.ino</t>
        </is>
      </c>
      <c r="E7" s="17" t="inlineStr">
        <is>
          <t>Stepper motor indexes cradle into enclosed dark chamber</t>
        </is>
      </c>
      <c r="F7" s="18" t="inlineStr">
        <is>
          <t>Backlog</t>
        </is>
      </c>
      <c r="G7" s="16" t="inlineStr">
        <is>
          <t>Codex</t>
        </is>
      </c>
    </row>
    <row r="8" ht="20" customHeight="1">
      <c r="A8" s="13" t="inlineStr">
        <is>
          <t>7</t>
        </is>
      </c>
      <c r="B8" s="14" t="inlineStr">
        <is>
          <t>Illuminate LED &amp; Capture Frame</t>
        </is>
      </c>
      <c r="C8" s="14" t="inlineStr">
        <is>
          <t>Edge CV / Camera</t>
        </is>
      </c>
      <c r="D8" s="14" t="inlineStr">
        <is>
          <t>src/core/frame_grabber.py</t>
        </is>
      </c>
      <c r="E8" s="14" t="inlineStr">
        <is>
          <t>10W cold-LED strobe fires; camera captures transillumination image</t>
        </is>
      </c>
      <c r="F8" s="15" t="inlineStr">
        <is>
          <t>Done</t>
        </is>
      </c>
      <c r="G8" s="13" t="inlineStr">
        <is>
          <t>Codex</t>
        </is>
      </c>
    </row>
    <row r="9" ht="20" customHeight="1">
      <c r="A9" s="16" t="inlineStr">
        <is>
          <t>8</t>
        </is>
      </c>
      <c r="B9" s="17" t="inlineStr">
        <is>
          <t>Detect Egg &amp; Predict Class (YOLOv8)</t>
        </is>
      </c>
      <c r="C9" s="17" t="inlineStr">
        <is>
          <t>Edge AI</t>
        </is>
      </c>
      <c r="D9" s="17" t="inlineStr">
        <is>
          <t>src/core/inference_engine.py</t>
        </is>
      </c>
      <c r="E9" s="17" t="inlineStr">
        <is>
          <t>Whole-egg bounding box detection + Fertile/Infertile/Abnormal prediction</t>
        </is>
      </c>
      <c r="F9" s="15" t="inlineStr">
        <is>
          <t>Done</t>
        </is>
      </c>
      <c r="G9" s="16" t="inlineStr">
        <is>
          <t>Codex</t>
        </is>
      </c>
    </row>
    <row r="10" ht="20" customHeight="1">
      <c r="A10" s="13" t="inlineStr">
        <is>
          <t>9</t>
        </is>
      </c>
      <c r="B10" s="14" t="inlineStr">
        <is>
          <t>Valid Classification Check?</t>
        </is>
      </c>
      <c r="C10" s="14" t="inlineStr">
        <is>
          <t>Edge Heuristics</t>
        </is>
      </c>
      <c r="D10" s="14" t="inlineStr">
        <is>
          <t>src/core/heuristics.py</t>
        </is>
      </c>
      <c r="E10" s="14" t="inlineStr">
        <is>
          <t>Check confidence &gt;= 0.75 and egg centering. If not -&gt; Flag for Review</t>
        </is>
      </c>
      <c r="F10" s="19" t="inlineStr">
        <is>
          <t>In Progress</t>
        </is>
      </c>
      <c r="G10" s="13" t="inlineStr">
        <is>
          <t>Codex</t>
        </is>
      </c>
    </row>
    <row r="11" ht="20" customHeight="1">
      <c r="A11" s="16" t="inlineStr">
        <is>
          <t>10</t>
        </is>
      </c>
      <c r="B11" s="17" t="inlineStr">
        <is>
          <t>Flag for Manual Review / Override</t>
        </is>
      </c>
      <c r="C11" s="17" t="inlineStr">
        <is>
          <t>Edge UI</t>
        </is>
      </c>
      <c r="D11" s="17" t="inlineStr">
        <is>
          <t>src/ui/modals/review_modal.py</t>
        </is>
      </c>
      <c r="E11" s="17" t="inlineStr">
        <is>
          <t>Worker prompted with image; can override or accept classification</t>
        </is>
      </c>
      <c r="F11" s="19" t="inlineStr">
        <is>
          <t>In Progress</t>
        </is>
      </c>
      <c r="G11" s="16" t="inlineStr">
        <is>
          <t>Codex</t>
        </is>
      </c>
    </row>
    <row r="12" ht="20" customHeight="1">
      <c r="A12" s="13" t="inlineStr">
        <is>
          <t>11</t>
        </is>
      </c>
      <c r="B12" s="14" t="inlineStr">
        <is>
          <t>Associate Class &amp; Conf with Cradle ID</t>
        </is>
      </c>
      <c r="C12" s="14" t="inlineStr">
        <is>
          <t>Edge Tracking</t>
        </is>
      </c>
      <c r="D12" s="14" t="inlineStr">
        <is>
          <t>src/core/cradle_tracker.py</t>
        </is>
      </c>
      <c r="E12" s="14" t="inlineStr">
        <is>
          <t>Cradle state updated with validated class decision</t>
        </is>
      </c>
      <c r="F12" s="19" t="inlineStr">
        <is>
          <t>In Progress</t>
        </is>
      </c>
      <c r="G12" s="13" t="inlineStr">
        <is>
          <t>Codex</t>
        </is>
      </c>
    </row>
    <row r="13" ht="20" customHeight="1">
      <c r="A13" s="16" t="inlineStr">
        <is>
          <t>12</t>
        </is>
      </c>
      <c r="B13" s="17" t="inlineStr">
        <is>
          <t>Save Scan Record Locally (SQLite WAL)</t>
        </is>
      </c>
      <c r="C13" s="17" t="inlineStr">
        <is>
          <t>Edge Store</t>
        </is>
      </c>
      <c r="D13" s="17" t="inlineStr">
        <is>
          <t>src/db/sqlite_manager.py</t>
        </is>
      </c>
      <c r="E13" s="17" t="inlineStr">
        <is>
          <t>Atomic local write to local_scans table before network transmission</t>
        </is>
      </c>
      <c r="F13" s="15" t="inlineStr">
        <is>
          <t>Done</t>
        </is>
      </c>
      <c r="G13" s="16" t="inlineStr">
        <is>
          <t>Codex</t>
        </is>
      </c>
    </row>
    <row r="14" ht="20" customHeight="1">
      <c r="A14" s="13" t="inlineStr">
        <is>
          <t>13</t>
        </is>
      </c>
      <c r="B14" s="14" t="inlineStr">
        <is>
          <t>Background Sync to Backend &amp; Web</t>
        </is>
      </c>
      <c r="C14" s="14" t="inlineStr">
        <is>
          <t>Edge Sync</t>
        </is>
      </c>
      <c r="D14" s="14" t="inlineStr">
        <is>
          <t>src/sync/http_sync_worker.py</t>
        </is>
      </c>
      <c r="E14" s="14" t="inlineStr">
        <is>
          <t>Async HTTP POST /api/v1/scans/batch with ON CONFLICT DO NOTHING</t>
        </is>
      </c>
      <c r="F14" s="15" t="inlineStr">
        <is>
          <t>Done</t>
        </is>
      </c>
      <c r="G14" s="13" t="inlineStr">
        <is>
          <t>Codex</t>
        </is>
      </c>
    </row>
    <row r="15" ht="20" customHeight="1">
      <c r="A15" s="16" t="inlineStr">
        <is>
          <t>14</t>
        </is>
      </c>
      <c r="B15" s="17" t="inlineStr">
        <is>
          <t>Index Conveyor &amp; Track Position</t>
        </is>
      </c>
      <c r="C15" s="17" t="inlineStr">
        <is>
          <t>Firmware / Stepper</t>
        </is>
      </c>
      <c r="D15" s="17" t="inlineStr">
        <is>
          <t>firmware/esp32_actuator.ino</t>
        </is>
      </c>
      <c r="E15" s="17" t="inlineStr">
        <is>
          <t>Cradle moves downstream toward segregation gates</t>
        </is>
      </c>
      <c r="F15" s="18" t="inlineStr">
        <is>
          <t>Backlog</t>
        </is>
      </c>
      <c r="G15" s="16" t="inlineStr">
        <is>
          <t>Codex</t>
        </is>
      </c>
    </row>
    <row r="16" ht="20" customHeight="1">
      <c r="A16" s="13" t="inlineStr">
        <is>
          <t>15</t>
        </is>
      </c>
      <c r="B16" s="14" t="inlineStr">
        <is>
          <t>Cradle Tracking Synchronized Check?</t>
        </is>
      </c>
      <c r="C16" s="14" t="inlineStr">
        <is>
          <t>Edge / Firmware</t>
        </is>
      </c>
      <c r="D16" s="14" t="inlineStr">
        <is>
          <t>src/core/cradle_tracker.py</t>
        </is>
      </c>
      <c r="E16" s="14" t="inlineStr">
        <is>
          <t>Position sensor verifies cradle index matches expected step count</t>
        </is>
      </c>
      <c r="F16" s="18" t="inlineStr">
        <is>
          <t>Backlog</t>
        </is>
      </c>
      <c r="G16" s="13" t="inlineStr">
        <is>
          <t>Codex</t>
        </is>
      </c>
    </row>
    <row r="17" ht="20" customHeight="1">
      <c r="A17" s="16" t="inlineStr">
        <is>
          <t>16</t>
        </is>
      </c>
      <c r="B17" s="17" t="inlineStr">
        <is>
          <t>Pause &amp; Resync if Mismatched</t>
        </is>
      </c>
      <c r="C17" s="17" t="inlineStr">
        <is>
          <t>Firmware / UI</t>
        </is>
      </c>
      <c r="D17" s="17" t="inlineStr">
        <is>
          <t>src/iot/esp32_driver.py</t>
        </is>
      </c>
      <c r="E17" s="17" t="inlineStr">
        <is>
          <t>Conveyor halts; alert shown on operator UI to resolve misalignment</t>
        </is>
      </c>
      <c r="F17" s="18" t="inlineStr">
        <is>
          <t>Backlog</t>
        </is>
      </c>
      <c r="G17" s="16" t="inlineStr">
        <is>
          <t>Codex</t>
        </is>
      </c>
    </row>
    <row r="18" ht="20" customHeight="1">
      <c r="A18" s="13" t="inlineStr">
        <is>
          <t>17</t>
        </is>
      </c>
      <c r="B18" s="14" t="inlineStr">
        <is>
          <t>Cradle Reaches Segregation Gate</t>
        </is>
      </c>
      <c r="C18" s="14" t="inlineStr">
        <is>
          <t>Firmware / Actuation</t>
        </is>
      </c>
      <c r="D18" s="14" t="inlineStr">
        <is>
          <t>firmware/esp32_actuator.ino</t>
        </is>
      </c>
      <c r="E18" s="14" t="inlineStr">
        <is>
          <t>Delta-t kinematic delay reached: D / v = 25cm / 12.5cm/s = 2000ms</t>
        </is>
      </c>
      <c r="F18" s="15" t="inlineStr">
        <is>
          <t>Done</t>
        </is>
      </c>
      <c r="G18" s="13" t="inlineStr">
        <is>
          <t>Codex</t>
        </is>
      </c>
    </row>
    <row r="19" ht="20" customHeight="1">
      <c r="A19" s="16" t="inlineStr">
        <is>
          <t>18</t>
        </is>
      </c>
      <c r="B19" s="17" t="inlineStr">
        <is>
          <t>Actuate Gate: Fertile</t>
        </is>
      </c>
      <c r="C19" s="17" t="inlineStr">
        <is>
          <t>Firmware / Servo</t>
        </is>
      </c>
      <c r="D19" s="17" t="inlineStr">
        <is>
          <t>Servo Gate 1 (GPIO 18)</t>
        </is>
      </c>
      <c r="E19" s="17" t="inlineStr">
        <is>
          <t>Egg passes gently to incubation tray for continued development</t>
        </is>
      </c>
      <c r="F19" s="15" t="inlineStr">
        <is>
          <t>Done</t>
        </is>
      </c>
      <c r="G19" s="16" t="inlineStr">
        <is>
          <t>Codex</t>
        </is>
      </c>
    </row>
    <row r="20" ht="20" customHeight="1">
      <c r="A20" s="13" t="inlineStr">
        <is>
          <t>19</t>
        </is>
      </c>
      <c r="B20" s="14" t="inlineStr">
        <is>
          <t>Actuate Gate: Infertile (Penoy)</t>
        </is>
      </c>
      <c r="C20" s="14" t="inlineStr">
        <is>
          <t>Firmware / Servo</t>
        </is>
      </c>
      <c r="D20" s="14" t="inlineStr">
        <is>
          <t>Servo Gate 2</t>
        </is>
      </c>
      <c r="E20" s="14" t="inlineStr">
        <is>
          <t>Egg diverted to Penoy collection tray for Day 10 salvage sale (@ P14.00)</t>
        </is>
      </c>
      <c r="F20" s="15" t="inlineStr">
        <is>
          <t>Done</t>
        </is>
      </c>
      <c r="G20" s="13" t="inlineStr">
        <is>
          <t>Codex</t>
        </is>
      </c>
    </row>
    <row r="21" ht="20" customHeight="1">
      <c r="A21" s="16" t="inlineStr">
        <is>
          <t>20</t>
        </is>
      </c>
      <c r="B21" s="17" t="inlineStr">
        <is>
          <t>Actuate Gate: Abnormal (Discard)</t>
        </is>
      </c>
      <c r="C21" s="17" t="inlineStr">
        <is>
          <t>Firmware / Servo</t>
        </is>
      </c>
      <c r="D21" s="17" t="inlineStr">
        <is>
          <t>Servo Gate 3</t>
        </is>
      </c>
      <c r="E21" s="17" t="inlineStr">
        <is>
          <t>Egg diverted to discard bin to prevent bacterial bursting in incubator</t>
        </is>
      </c>
      <c r="F21" s="15" t="inlineStr">
        <is>
          <t>Done</t>
        </is>
      </c>
      <c r="G21" s="16" t="inlineStr">
        <is>
          <t>Codex</t>
        </is>
      </c>
    </row>
    <row r="22" ht="20" customHeight="1">
      <c r="A22" s="13" t="inlineStr">
        <is>
          <t>21</t>
        </is>
      </c>
      <c r="B22" s="14" t="inlineStr">
        <is>
          <t>Record Outcome &amp; Update Statistics</t>
        </is>
      </c>
      <c r="C22" s="14" t="inlineStr">
        <is>
          <t>Edge / Backend</t>
        </is>
      </c>
      <c r="D22" s="14" t="inlineStr">
        <is>
          <t>src/core/session_manager.py</t>
        </is>
      </c>
      <c r="E22" s="14" t="inlineStr">
        <is>
          <t>Increment session counts: Fertile, Infertile, Abnormal, Flagged</t>
        </is>
      </c>
      <c r="F22" s="15" t="inlineStr">
        <is>
          <t>Done</t>
        </is>
      </c>
      <c r="G22" s="13" t="inlineStr">
        <is>
          <t>Codex</t>
        </is>
      </c>
    </row>
    <row r="23" ht="20" customHeight="1">
      <c r="A23" s="16" t="inlineStr">
        <is>
          <t>22</t>
        </is>
      </c>
      <c r="B23" s="17" t="inlineStr">
        <is>
          <t>Session Finalization &amp; Batch Summary</t>
        </is>
      </c>
      <c r="C23" s="17" t="inlineStr">
        <is>
          <t>Backend / Dashboard</t>
        </is>
      </c>
      <c r="D23" s="17" t="inlineStr">
        <is>
          <t>backend/app/services/analytics.py</t>
        </is>
      </c>
      <c r="E23" s="17" t="inlineStr">
        <is>
          <t>Compute batch mortality curve, hatch forecast, and CSV/PDF export</t>
        </is>
      </c>
      <c r="F23" s="15" t="inlineStr">
        <is>
          <t>Done</t>
        </is>
      </c>
      <c r="G23" s="16" t="inlineStr">
        <is>
          <t>Codex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6"/>
  <sheetViews>
    <sheetView showGridLines="1" workbookViewId="0">
      <selection activeCell="A1" sqref="A1"/>
    </sheetView>
  </sheetViews>
  <sheetFormatPr baseColWidth="8" defaultRowHeight="15"/>
  <cols>
    <col width="23" customWidth="1" min="1" max="1"/>
    <col width="22" customWidth="1" min="2" max="2"/>
    <col width="48" customWidth="1" min="3" max="3"/>
    <col width="22" customWidth="1" min="4" max="4"/>
    <col width="48" customWidth="1" min="5" max="5"/>
    <col width="29" customWidth="1" min="6" max="6"/>
    <col width="14" customWidth="1" min="7" max="7"/>
  </cols>
  <sheetData>
    <row r="1">
      <c r="A1" s="5" t="inlineStr">
        <is>
          <t>Actor</t>
        </is>
      </c>
      <c r="B1" s="5" t="inlineStr">
        <is>
          <t>Inherits From</t>
        </is>
      </c>
      <c r="C1" s="5" t="inlineStr">
        <is>
          <t>Use Case / Function</t>
        </is>
      </c>
      <c r="D1" s="5" t="inlineStr">
        <is>
          <t>Subsystem</t>
        </is>
      </c>
      <c r="E1" s="5" t="inlineStr">
        <is>
          <t>Backend Endpoint / UI View</t>
        </is>
      </c>
      <c r="F1" s="5" t="inlineStr">
        <is>
          <t>Security / RBAC Permission</t>
        </is>
      </c>
      <c r="G1" s="5" t="inlineStr">
        <is>
          <t>Status</t>
        </is>
      </c>
    </row>
    <row r="2" ht="20" customHeight="1">
      <c r="A2" s="13" t="inlineStr">
        <is>
          <t>Candling Worker</t>
        </is>
      </c>
      <c r="B2" s="13" t="inlineStr">
        <is>
          <t>None (Base)</t>
        </is>
      </c>
      <c r="C2" s="14" t="inlineStr">
        <is>
          <t>Log In / Authenticate User</t>
        </is>
      </c>
      <c r="D2" s="14" t="inlineStr">
        <is>
          <t>Auth / UI</t>
        </is>
      </c>
      <c r="E2" s="14" t="inlineStr">
        <is>
          <t>POST /api/v1/auth/login</t>
        </is>
      </c>
      <c r="F2" s="13" t="inlineStr">
        <is>
          <t>WORKER, SUPERVISOR, ADMIN</t>
        </is>
      </c>
      <c r="G2" s="15" t="inlineStr">
        <is>
          <t>Done</t>
        </is>
      </c>
    </row>
    <row r="3" ht="20" customHeight="1">
      <c r="A3" s="16" t="inlineStr">
        <is>
          <t>Candling Worker</t>
        </is>
      </c>
      <c r="B3" s="16" t="inlineStr">
        <is>
          <t>None (Base)</t>
        </is>
      </c>
      <c r="C3" s="17" t="inlineStr">
        <is>
          <t>Manage Candling Session (Start/Pause/Stop)</t>
        </is>
      </c>
      <c r="D3" s="17" t="inlineStr">
        <is>
          <t>Edge Desktop UI</t>
        </is>
      </c>
      <c r="E3" s="17" t="inlineStr">
        <is>
          <t>src/ui/operator_app.py</t>
        </is>
      </c>
      <c r="F3" s="16" t="inlineStr">
        <is>
          <t>WORKER, SUPERVISOR, ADMIN</t>
        </is>
      </c>
      <c r="G3" s="19" t="inlineStr">
        <is>
          <t>In Progress</t>
        </is>
      </c>
    </row>
    <row r="4" ht="20" customHeight="1">
      <c r="A4" s="13" t="inlineStr">
        <is>
          <t>Candling Worker</t>
        </is>
      </c>
      <c r="B4" s="13" t="inlineStr">
        <is>
          <t>None (Base)</t>
        </is>
      </c>
      <c r="C4" s="14" t="inlineStr">
        <is>
          <t>Monitor Live Video Feed</t>
        </is>
      </c>
      <c r="D4" s="14" t="inlineStr">
        <is>
          <t>Edge CV / UI</t>
        </is>
      </c>
      <c r="E4" s="14" t="inlineStr">
        <is>
          <t>src/ui/operator_app.py (60 FPS stream)</t>
        </is>
      </c>
      <c r="F4" s="13" t="inlineStr">
        <is>
          <t>WORKER, SUPERVISOR, ADMIN</t>
        </is>
      </c>
      <c r="G4" s="19" t="inlineStr">
        <is>
          <t>In Progress</t>
        </is>
      </c>
    </row>
    <row r="5" ht="20" customHeight="1">
      <c r="A5" s="16" t="inlineStr">
        <is>
          <t>Candling Worker</t>
        </is>
      </c>
      <c r="B5" s="16" t="inlineStr">
        <is>
          <t>None (Base)</t>
        </is>
      </c>
      <c r="C5" s="17" t="inlineStr">
        <is>
          <t>View Session Statistics (Fertile/Infertile/Abnormal)</t>
        </is>
      </c>
      <c r="D5" s="17" t="inlineStr">
        <is>
          <t>Edge Desktop UI</t>
        </is>
      </c>
      <c r="E5" s="17" t="inlineStr">
        <is>
          <t>Session tally widget</t>
        </is>
      </c>
      <c r="F5" s="16" t="inlineStr">
        <is>
          <t>WORKER, SUPERVISOR, ADMIN</t>
        </is>
      </c>
      <c r="G5" s="15" t="inlineStr">
        <is>
          <t>Done</t>
        </is>
      </c>
    </row>
    <row r="6" ht="20" customHeight="1">
      <c r="A6" s="13" t="inlineStr">
        <is>
          <t>Candling Worker</t>
        </is>
      </c>
      <c r="B6" s="13" t="inlineStr">
        <is>
          <t>None (Base)</t>
        </is>
      </c>
      <c r="C6" s="14" t="inlineStr">
        <is>
          <t>Review Flagged Classifications (Manual Override)</t>
        </is>
      </c>
      <c r="D6" s="14" t="inlineStr">
        <is>
          <t>Edge Desktop UI</t>
        </is>
      </c>
      <c r="E6" s="14" t="inlineStr">
        <is>
          <t>Review Modal + PUT /api/v1/scans/{id}/override</t>
        </is>
      </c>
      <c r="F6" s="13" t="inlineStr">
        <is>
          <t>WORKER, SUPERVISOR, ADMIN</t>
        </is>
      </c>
      <c r="G6" s="19" t="inlineStr">
        <is>
          <t>In Progress</t>
        </is>
      </c>
    </row>
    <row r="7" ht="20" customHeight="1">
      <c r="A7" s="16" t="inlineStr">
        <is>
          <t>Hatchery Supervisor</t>
        </is>
      </c>
      <c r="B7" s="16" t="inlineStr">
        <is>
          <t>Candling Worker</t>
        </is>
      </c>
      <c r="C7" s="17" t="inlineStr">
        <is>
          <t>View Classification Analytics &amp; Mortality Trends</t>
        </is>
      </c>
      <c r="D7" s="17" t="inlineStr">
        <is>
          <t>Dashboard</t>
        </is>
      </c>
      <c r="E7" s="17" t="inlineStr">
        <is>
          <t>GET /api/v1/analytics/overview</t>
        </is>
      </c>
      <c r="F7" s="16" t="inlineStr">
        <is>
          <t>SUPERVISOR, ADMIN</t>
        </is>
      </c>
      <c r="G7" s="15" t="inlineStr">
        <is>
          <t>Done</t>
        </is>
      </c>
    </row>
    <row r="8" ht="20" customHeight="1">
      <c r="A8" s="13" t="inlineStr">
        <is>
          <t>Hatchery Supervisor</t>
        </is>
      </c>
      <c r="B8" s="13" t="inlineStr">
        <is>
          <t>Candling Worker</t>
        </is>
      </c>
      <c r="C8" s="14" t="inlineStr">
        <is>
          <t>Generate Automated Reports (PDF / CSV)</t>
        </is>
      </c>
      <c r="D8" s="14" t="inlineStr">
        <is>
          <t>Backend / Dashboard</t>
        </is>
      </c>
      <c r="E8" s="14" t="inlineStr">
        <is>
          <t>GET /api/v1/reports/batch/{id}/pdf</t>
        </is>
      </c>
      <c r="F8" s="13" t="inlineStr">
        <is>
          <t>SUPERVISOR, ADMIN</t>
        </is>
      </c>
      <c r="G8" s="15" t="inlineStr">
        <is>
          <t>Done</t>
        </is>
      </c>
    </row>
    <row r="9" ht="20" customHeight="1">
      <c r="A9" s="16" t="inlineStr">
        <is>
          <t>Hatchery Supervisor</t>
        </is>
      </c>
      <c r="B9" s="16" t="inlineStr">
        <is>
          <t>Candling Worker</t>
        </is>
      </c>
      <c r="C9" s="17" t="inlineStr">
        <is>
          <t>View Hatchery Multi-Batch Overview</t>
        </is>
      </c>
      <c r="D9" s="17" t="inlineStr">
        <is>
          <t>Dashboard</t>
        </is>
      </c>
      <c r="E9" s="17" t="inlineStr">
        <is>
          <t>Overview Page / Analytics</t>
        </is>
      </c>
      <c r="F9" s="16" t="inlineStr">
        <is>
          <t>SUPERVISOR, ADMIN</t>
        </is>
      </c>
      <c r="G9" s="15" t="inlineStr">
        <is>
          <t>Done</t>
        </is>
      </c>
    </row>
    <row r="10" ht="20" customHeight="1">
      <c r="A10" s="13" t="inlineStr">
        <is>
          <t>Hatchery Supervisor</t>
        </is>
      </c>
      <c r="B10" s="13" t="inlineStr">
        <is>
          <t>Candling Worker</t>
        </is>
      </c>
      <c r="C10" s="14" t="inlineStr">
        <is>
          <t>Manage Incubation Batches (Create/Edit/Close)</t>
        </is>
      </c>
      <c r="D10" s="14" t="inlineStr">
        <is>
          <t>Backend / Dashboard</t>
        </is>
      </c>
      <c r="E10" s="14" t="inlineStr">
        <is>
          <t>POST /api/v1/batches</t>
        </is>
      </c>
      <c r="F10" s="13" t="inlineStr">
        <is>
          <t>SUPERVISOR, ADMIN</t>
        </is>
      </c>
      <c r="G10" s="15" t="inlineStr">
        <is>
          <t>Done</t>
        </is>
      </c>
    </row>
    <row r="11" ht="20" customHeight="1">
      <c r="A11" s="16" t="inlineStr">
        <is>
          <t>Hatchery Supervisor</t>
        </is>
      </c>
      <c r="B11" s="16" t="inlineStr">
        <is>
          <t>Candling Worker</t>
        </is>
      </c>
      <c r="C11" s="17" t="inlineStr">
        <is>
          <t>Review Historical Candling Records</t>
        </is>
      </c>
      <c r="D11" s="17" t="inlineStr">
        <is>
          <t>Backend / Dashboard</t>
        </is>
      </c>
      <c r="E11" s="17" t="inlineStr">
        <is>
          <t>GET /api/v1/scans?batch_id={id}</t>
        </is>
      </c>
      <c r="F11" s="16" t="inlineStr">
        <is>
          <t>SUPERVISOR, ADMIN</t>
        </is>
      </c>
      <c r="G11" s="15" t="inlineStr">
        <is>
          <t>Done</t>
        </is>
      </c>
    </row>
    <row r="12" ht="20" customHeight="1">
      <c r="A12" s="13" t="inlineStr">
        <is>
          <t>Hatchery Supervisor</t>
        </is>
      </c>
      <c r="B12" s="13" t="inlineStr">
        <is>
          <t>Candling Worker</t>
        </is>
      </c>
      <c r="C12" s="14" t="inlineStr">
        <is>
          <t>Monitor Device Status &amp; Sorter Rig Heartbeat</t>
        </is>
      </c>
      <c r="D12" s="14" t="inlineStr">
        <is>
          <t>Backend / Dashboard</t>
        </is>
      </c>
      <c r="E12" s="14" t="inlineStr">
        <is>
          <t>GET /api/v1/devices</t>
        </is>
      </c>
      <c r="F12" s="13" t="inlineStr">
        <is>
          <t>SUPERVISOR, ADMIN</t>
        </is>
      </c>
      <c r="G12" s="19" t="inlineStr">
        <is>
          <t>In Progress</t>
        </is>
      </c>
    </row>
    <row r="13" ht="20" customHeight="1">
      <c r="A13" s="16" t="inlineStr">
        <is>
          <t>System Administrator</t>
        </is>
      </c>
      <c r="B13" s="16" t="inlineStr">
        <is>
          <t>Hatchery Supervisor</t>
        </is>
      </c>
      <c r="C13" s="17" t="inlineStr">
        <is>
          <t>Manage User Accounts (Create/Update/Role)</t>
        </is>
      </c>
      <c r="D13" s="17" t="inlineStr">
        <is>
          <t>Backend / Dashboard</t>
        </is>
      </c>
      <c r="E13" s="17" t="inlineStr">
        <is>
          <t>GET/POST /api/v1/admin/users</t>
        </is>
      </c>
      <c r="F13" s="16" t="inlineStr">
        <is>
          <t>ADMIN Only</t>
        </is>
      </c>
      <c r="G13" s="15" t="inlineStr">
        <is>
          <t>Done</t>
        </is>
      </c>
    </row>
    <row r="14" ht="20" customHeight="1">
      <c r="A14" s="13" t="inlineStr">
        <is>
          <t>System Administrator</t>
        </is>
      </c>
      <c r="B14" s="13" t="inlineStr">
        <is>
          <t>Hatchery Supervisor</t>
        </is>
      </c>
      <c r="C14" s="14" t="inlineStr">
        <is>
          <t>View System Audit Logs &amp; Override History</t>
        </is>
      </c>
      <c r="D14" s="14" t="inlineStr">
        <is>
          <t>Backend / Dashboard</t>
        </is>
      </c>
      <c r="E14" s="14" t="inlineStr">
        <is>
          <t>GET /api/v1/admin/audit-logs</t>
        </is>
      </c>
      <c r="F14" s="13" t="inlineStr">
        <is>
          <t>ADMIN Only</t>
        </is>
      </c>
      <c r="G14" s="15" t="inlineStr">
        <is>
          <t>Done</t>
        </is>
      </c>
    </row>
    <row r="15" ht="20" customHeight="1">
      <c r="A15" s="16" t="inlineStr">
        <is>
          <t>System Administrator</t>
        </is>
      </c>
      <c r="B15" s="16" t="inlineStr">
        <is>
          <t>Hatchery Supervisor</t>
        </is>
      </c>
      <c r="C15" s="17" t="inlineStr">
        <is>
          <t>Configure System Settings (DB, sync, intervals)</t>
        </is>
      </c>
      <c r="D15" s="17" t="inlineStr">
        <is>
          <t>Backend / Dashboard</t>
        </is>
      </c>
      <c r="E15" s="17" t="inlineStr">
        <is>
          <t>GET/PUT /api/v1/settings</t>
        </is>
      </c>
      <c r="F15" s="16" t="inlineStr">
        <is>
          <t>ADMIN Only</t>
        </is>
      </c>
      <c r="G15" s="15" t="inlineStr">
        <is>
          <t>Done</t>
        </is>
      </c>
    </row>
    <row r="16" ht="20" customHeight="1">
      <c r="A16" s="13" t="inlineStr">
        <is>
          <t>System Administrator</t>
        </is>
      </c>
      <c r="B16" s="13" t="inlineStr">
        <is>
          <t>Hatchery Supervisor</t>
        </is>
      </c>
      <c r="C16" s="14" t="inlineStr">
        <is>
          <t>Manage Model Deployment Settings (Weights/Threshold)</t>
        </is>
      </c>
      <c r="D16" s="14" t="inlineStr">
        <is>
          <t>Backend / Edge</t>
        </is>
      </c>
      <c r="E16" s="14" t="inlineStr">
        <is>
          <t>YOLOv8 ONNX config + threshold settings</t>
        </is>
      </c>
      <c r="F16" s="13" t="inlineStr">
        <is>
          <t>ADMIN Only</t>
        </is>
      </c>
      <c r="G16" s="19" t="inlineStr">
        <is>
          <t>In Progress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2026-09-15T02:05:38Z</dcterms:created>
  <dcterms:modified xsi:type="dcterms:W3CDTF">2026-09-15T02:05:38Z</dcterms:modified>
</cp:coreProperties>
</file>