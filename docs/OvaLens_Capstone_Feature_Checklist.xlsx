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Overview" sheetId="1" state="visible" r:id="rId1"/>
    <sheet name="Master 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Segoe UI"/>
      <b val="1"/>
      <color rgb="00800000"/>
      <sz val="16"/>
    </font>
    <font>
      <name val="Segoe UI"/>
      <i val="1"/>
      <color rgb="0064748B"/>
      <sz val="10"/>
    </font>
    <font>
      <name val="Segoe UI"/>
      <b val="1"/>
      <color rgb="0064748B"/>
      <sz val="9"/>
    </font>
    <font>
      <name val="Segoe UI"/>
      <b val="1"/>
      <color rgb="00800000"/>
      <sz val="18"/>
    </font>
    <font>
      <name val="Segoe UI"/>
      <b val="1"/>
      <color rgb="00FFFFFF"/>
      <sz val="11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800000"/>
      <sz val="11"/>
    </font>
    <font>
      <name val="Segoe UI"/>
      <b val="1"/>
      <color rgb="00166534"/>
      <sz val="10"/>
    </font>
    <font>
      <name val="Segoe UI"/>
      <b val="1"/>
      <color rgb="00475569"/>
      <sz val="10"/>
    </font>
  </fonts>
  <fills count="7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800000"/>
        <bgColor rgb="00800000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0" fontId="8" fillId="0" borderId="0" pivotButton="0" quotePrefix="0" xfId="0"/>
    <xf numFmtId="0" fontId="7" fillId="0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/>
    </xf>
    <xf numFmtId="0" fontId="9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vertical="center" wrapText="1"/>
    </xf>
    <xf numFmtId="0" fontId="9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52" customWidth="1" min="2" max="2"/>
    <col width="52" customWidth="1" min="3" max="3"/>
    <col width="52" customWidth="1" min="4" max="4"/>
    <col width="15" customWidth="1" min="5" max="5"/>
    <col width="52" customWidth="1" min="6" max="6"/>
    <col width="12" customWidth="1" min="7" max="7"/>
    <col width="50" customWidth="1" min="8" max="8"/>
    <col width="12" customWidth="1" min="9" max="9"/>
  </cols>
  <sheetData>
    <row r="1">
      <c r="A1" s="1" t="inlineStr">
        <is>
          <t>OVALENS: CAPSTONE MASTER FEATURE &amp; ENDPOINT CHECKLIST</t>
        </is>
      </c>
    </row>
    <row r="2">
      <c r="A2" s="2" t="inlineStr">
        <is>
          <t>Foundation University (CCS) • Team DevIn • DSRM + Agile Framework • Two-Tier Agent Architecture</t>
        </is>
      </c>
    </row>
    <row r="4">
      <c r="B4" s="3" t="inlineStr">
        <is>
          <t>Total Items</t>
        </is>
      </c>
      <c r="D4" s="3" t="inlineStr">
        <is>
          <t>Completed [Done]</t>
        </is>
      </c>
      <c r="F4" s="3" t="inlineStr">
        <is>
          <t>In Progress</t>
        </is>
      </c>
      <c r="H4" s="3" t="inlineStr">
        <is>
          <t>Pending Backlog</t>
        </is>
      </c>
    </row>
    <row r="5">
      <c r="B5" s="4">
        <f>COUNTA('Master Checklist'!A4:A150)</f>
        <v/>
      </c>
      <c r="D5" s="4">
        <f>COUNTIF('Master Checklist'!H4:H150, "Done")</f>
        <v/>
      </c>
      <c r="F5" s="4">
        <f>COUNTIF('Master Checklist'!H4:H150, "In Progress")</f>
        <v/>
      </c>
      <c r="H5" s="4">
        <f>COUNTIF('Master Checklist'!H4:H150, "Backlog")</f>
        <v/>
      </c>
    </row>
    <row r="8">
      <c r="A8" s="5" t="inlineStr">
        <is>
          <t>Subsystem Domain</t>
        </is>
      </c>
      <c r="B8" s="5" t="inlineStr">
        <is>
          <t>Scope &amp; Description</t>
        </is>
      </c>
      <c r="C8" s="5" t="inlineStr">
        <is>
          <t>Total Tasks</t>
        </is>
      </c>
      <c r="D8" s="5" t="inlineStr">
        <is>
          <t>Done</t>
        </is>
      </c>
      <c r="E8" s="5" t="inlineStr">
        <is>
          <t>Completion %</t>
        </is>
      </c>
    </row>
    <row r="9">
      <c r="A9" s="6" t="inlineStr">
        <is>
          <t>Backend REST API</t>
        </is>
      </c>
      <c r="B9" s="7" t="inlineStr">
        <is>
          <t>All FastAPI routers: Auth, Batches, Scans, Analytics, Reports, Settings, Users</t>
        </is>
      </c>
      <c r="C9" s="8">
        <f>COUNTIF('Master Checklist'!C4:C150, "Backend API")</f>
        <v/>
      </c>
      <c r="D9" s="8">
        <f>COUNTIFS('Master Checklist'!C4:C150, "Backend API", 'Master Checklist'!H4:H150, "Done")</f>
        <v/>
      </c>
      <c r="E9" s="9">
        <f>D9/C9</f>
        <v/>
      </c>
    </row>
    <row r="10">
      <c r="A10" s="6" t="inlineStr">
        <is>
          <t>Edge CV &amp; Sorter App</t>
        </is>
      </c>
      <c r="B10" s="7" t="inlineStr">
        <is>
          <t>Camera grabber, YOLOv8 ONNX, SQLite WAL, cradle tracker, CustomTkinter 60 FPS</t>
        </is>
      </c>
      <c r="C10" s="8">
        <f>COUNTIF('Master Checklist'!C4:C150, "Edge CV")</f>
        <v/>
      </c>
      <c r="D10" s="8">
        <f>COUNTIFS('Master Checklist'!C4:C150, "Edge CV", 'Master Checklist'!H4:H150, "Done")</f>
        <v/>
      </c>
      <c r="E10" s="9">
        <f>D10/C10</f>
        <v/>
      </c>
    </row>
    <row r="11">
      <c r="A11" s="6" t="inlineStr">
        <is>
          <t>Dashboard Web Portal</t>
        </is>
      </c>
      <c r="B11" s="7" t="inlineStr">
        <is>
          <t>React 18 + Vite + TS: Tray matrix, batches, analytics, user admin, audit logs</t>
        </is>
      </c>
      <c r="C11" s="8">
        <f>COUNTIF('Master Checklist'!C4:C150, "Dashboard")</f>
        <v/>
      </c>
      <c r="D11" s="8">
        <f>COUNTIFS('Master Checklist'!C4:C150, "Dashboard", 'Master Checklist'!H4:H150, "Done")</f>
        <v/>
      </c>
      <c r="E11" s="9">
        <f>D11/C11</f>
        <v/>
      </c>
    </row>
    <row r="12">
      <c r="A12" s="6" t="inlineStr">
        <is>
          <t>Firmware &amp; Hardware</t>
        </is>
      </c>
      <c r="B12" s="7" t="inlineStr">
        <is>
          <t>ESP32 Dev Module, optical interrupts, stepper indexed transport, servo diverters</t>
        </is>
      </c>
      <c r="C12" s="8">
        <f>COUNTIF('Master Checklist'!C4:C150, "Firmware")</f>
        <v/>
      </c>
      <c r="D12" s="8">
        <f>COUNTIFS('Master Checklist'!C4:C150, "Firmware", 'Master Checklist'!H4:H150, "Done")</f>
        <v/>
      </c>
      <c r="E12" s="9">
        <f>D12/C12</f>
        <v/>
      </c>
    </row>
    <row r="13">
      <c r="A13" s="6" t="inlineStr">
        <is>
          <t>AI Model &amp; Dataset</t>
        </is>
      </c>
      <c r="B13" s="7" t="inlineStr">
        <is>
          <t>3,000+ Itik Pinas dataset, 70/15/15 split, training, ONNX FP16 slim, benchmarks</t>
        </is>
      </c>
      <c r="C13" s="8">
        <f>COUNTIF('Master Checklist'!C4:C150, "AI &amp; Data")</f>
        <v/>
      </c>
      <c r="D13" s="8">
        <f>COUNTIFS('Master Checklist'!C4:C150, "AI &amp; Data", 'Master Checklist'!H4:H150, "Done")</f>
        <v/>
      </c>
      <c r="E13" s="9">
        <f>D13/C13</f>
        <v/>
      </c>
    </row>
    <row r="14">
      <c r="A14" s="6" t="inlineStr">
        <is>
          <t>Research &amp; Docs</t>
        </is>
      </c>
      <c r="B14" s="7" t="inlineStr">
        <is>
          <t>Capstone manuscript (Chapters 1-6), APA citations, thesis defense preparation</t>
        </is>
      </c>
      <c r="C14" s="8">
        <f>COUNTIF('Master Checklist'!C4:C150, "Docs &amp; Plan")</f>
        <v/>
      </c>
      <c r="D14" s="8">
        <f>COUNTIFS('Master Checklist'!C4:C150, "Docs &amp; Plan", 'Master Checklist'!H4:H150, "Done")</f>
        <v/>
      </c>
      <c r="E14" s="9">
        <f>D14/C14</f>
        <v/>
      </c>
    </row>
    <row r="17">
      <c r="A17" s="10" t="inlineStr">
        <is>
          <t>Global Automated Workflow Rules:</t>
        </is>
      </c>
    </row>
    <row r="18">
      <c r="A18" s="11" t="inlineStr">
        <is>
          <t>1. Two-Tier Agent Architecture: Antigravity orchestrates, plans, audits, and commits; Codex implements features and tests.</t>
        </is>
      </c>
    </row>
    <row r="19">
      <c r="A19" s="11" t="inlineStr">
        <is>
          <t>2. Automated Quality Gate: Every feature MUST pass backend pytest (13 tests), edge pytest (8 tests), and dashboard build.</t>
        </is>
      </c>
    </row>
    <row r="20">
      <c r="A20" s="11" t="inlineStr">
        <is>
          <t>3. Automated Checklist Sync: Running 'python scripts/verify_and_commit.py --task &lt;TASK_ID&gt; -m "..."' marks the item Done here and in PROJECT_PLAN.md.</t>
        </is>
      </c>
    </row>
    <row r="21">
      <c r="A21" s="11" t="inlineStr">
        <is>
          <t>4. Strict Architectural Tenets: Zero Firebase (100% FastAPI+PostgreSQL), offline SQLite WAL at edge, 3 biological classes, FU branding (#800000).</t>
        </is>
      </c>
    </row>
  </sheetData>
  <mergeCells count="10">
    <mergeCell ref="F4:G4"/>
    <mergeCell ref="B5:C5"/>
    <mergeCell ref="A2:H2"/>
    <mergeCell ref="F5:G5"/>
    <mergeCell ref="D5:E5"/>
    <mergeCell ref="H5:I5"/>
    <mergeCell ref="D4:E4"/>
    <mergeCell ref="H4:I4"/>
    <mergeCell ref="A1:H1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J12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38" customWidth="1" min="4" max="4"/>
    <col width="52" customWidth="1" min="5" max="5"/>
    <col width="22" customWidth="1" min="6" max="6"/>
    <col width="16" customWidth="1" min="7" max="7"/>
    <col width="14" customWidth="1" min="8" max="8"/>
    <col width="16" customWidth="1" min="9" max="9"/>
    <col width="40" customWidth="1" min="10" max="10"/>
  </cols>
  <sheetData>
    <row r="3" ht="28" customHeight="1">
      <c r="A3" s="12" t="inlineStr">
        <is>
          <t>Task ID</t>
        </is>
      </c>
      <c r="B3" s="12" t="inlineStr">
        <is>
          <t>DSRM Phase</t>
        </is>
      </c>
      <c r="C3" s="12" t="inlineStr">
        <is>
          <t>Subsystem</t>
        </is>
      </c>
      <c r="D3" s="12" t="inlineStr">
        <is>
          <t>Feature / Endpoint</t>
        </is>
      </c>
      <c r="E3" s="12" t="inlineStr">
        <is>
          <t>Technical Specification &amp; Acceptance Criteria</t>
        </is>
      </c>
      <c r="F3" s="12" t="inlineStr">
        <is>
          <t>Diagram Reference</t>
        </is>
      </c>
      <c r="G3" s="12" t="inlineStr">
        <is>
          <t>Role</t>
        </is>
      </c>
      <c r="H3" s="12" t="inlineStr">
        <is>
          <t>Status</t>
        </is>
      </c>
      <c r="I3" s="12" t="inlineStr">
        <is>
          <t>Priority</t>
        </is>
      </c>
      <c r="J3" s="12" t="inlineStr">
        <is>
          <t>Automated Test / Verification</t>
        </is>
      </c>
    </row>
    <row r="4" ht="22" customHeight="1">
      <c r="A4" s="13" t="inlineStr">
        <is>
          <t>TASK-DOC-01</t>
        </is>
      </c>
      <c r="B4" s="13" t="inlineStr">
        <is>
          <t>Phase 1: Planning</t>
        </is>
      </c>
      <c r="C4" s="14" t="inlineStr">
        <is>
          <t>Docs &amp; Plan</t>
        </is>
      </c>
      <c r="D4" s="14" t="inlineStr">
        <is>
          <t>Authentic Manuscript Integration</t>
        </is>
      </c>
      <c r="E4" s="14" t="inlineStr">
        <is>
          <t>Parse DevIn (2026).md into Chapters 1-6 with 15 APA 7 citations and Title/Approval Sheet</t>
        </is>
      </c>
      <c r="F4" s="14" t="inlineStr">
        <is>
          <t>Manuscript 00-06</t>
        </is>
      </c>
      <c r="G4" s="13" t="inlineStr">
        <is>
          <t>Antigravity</t>
        </is>
      </c>
      <c r="H4" s="15" t="inlineStr">
        <is>
          <t>Done</t>
        </is>
      </c>
      <c r="I4" s="13" t="inlineStr">
        <is>
          <t>P0 - Critical</t>
        </is>
      </c>
      <c r="J4" s="14" t="inlineStr">
        <is>
          <t>docs/manuscript/*.md review</t>
        </is>
      </c>
    </row>
    <row r="5" ht="22" customHeight="1">
      <c r="A5" s="16" t="inlineStr">
        <is>
          <t>TASK-DOC-02</t>
        </is>
      </c>
      <c r="B5" s="16" t="inlineStr">
        <is>
          <t>Phase 1: Planning</t>
        </is>
      </c>
      <c r="C5" s="17" t="inlineStr">
        <is>
          <t>Docs &amp; Plan</t>
        </is>
      </c>
      <c r="D5" s="17" t="inlineStr">
        <is>
          <t>Import &amp; Catalog Academic Diagrams</t>
        </is>
      </c>
      <c r="E5" s="17" t="inlineStr">
        <is>
          <t>Embed and convert IPO Matrix, DSRM Methodology, System Flowchart, and Use Case diagrams (.drawio &amp; .html)</t>
        </is>
      </c>
      <c r="F5" s="17" t="inlineStr">
        <is>
          <t>All 4 Diagrams</t>
        </is>
      </c>
      <c r="G5" s="16" t="inlineStr">
        <is>
          <t>Antigravity</t>
        </is>
      </c>
      <c r="H5" s="15" t="inlineStr">
        <is>
          <t>Done</t>
        </is>
      </c>
      <c r="I5" s="16" t="inlineStr">
        <is>
          <t>P0 - Critical</t>
        </is>
      </c>
      <c r="J5" s="17" t="inlineStr">
        <is>
          <t>docs/diagrams catalog audit</t>
        </is>
      </c>
    </row>
    <row r="6" ht="22" customHeight="1">
      <c r="A6" s="13" t="inlineStr">
        <is>
          <t>TASK-DOC-03</t>
        </is>
      </c>
      <c r="B6" s="13" t="inlineStr">
        <is>
          <t>Phase 1: Planning</t>
        </is>
      </c>
      <c r="C6" s="14" t="inlineStr">
        <is>
          <t>Docs &amp; Plan</t>
        </is>
      </c>
      <c r="D6" s="14" t="inlineStr">
        <is>
          <t>Two-Tier Agent Workflow &amp; Quality Gate</t>
        </is>
      </c>
      <c r="E6" s="14" t="inlineStr">
        <is>
          <t>Establish Antigravity + Codex partnership, PROJECT_PLAN.md, CHANGELOG.md, and verify_and_commit.py</t>
        </is>
      </c>
      <c r="F6" s="14" t="inlineStr">
        <is>
          <t>PROJECT_PLAN.md</t>
        </is>
      </c>
      <c r="G6" s="13" t="inlineStr">
        <is>
          <t>Antigravity</t>
        </is>
      </c>
      <c r="H6" s="15" t="inlineStr">
        <is>
          <t>Done</t>
        </is>
      </c>
      <c r="I6" s="13" t="inlineStr">
        <is>
          <t>P0 - Critical</t>
        </is>
      </c>
      <c r="J6" s="14" t="inlineStr">
        <is>
          <t>python scripts/verify_and_commit.py</t>
        </is>
      </c>
    </row>
    <row r="7" ht="22" customHeight="1">
      <c r="A7" s="16" t="inlineStr">
        <is>
          <t>TASK-NEW-SCOPE-01</t>
        </is>
      </c>
      <c r="B7" s="16" t="inlineStr">
        <is>
          <t>Phase 4: Development</t>
        </is>
      </c>
      <c r="C7" s="17" t="inlineStr">
        <is>
          <t>Cross-System</t>
        </is>
      </c>
      <c r="D7" s="17" t="inlineStr">
        <is>
          <t>Day 10 Binary Domain Refactor</t>
        </is>
      </c>
      <c r="E7" s="17" t="inlineStr">
        <is>
          <t>Standardize backend, edge, dashboard, firmware, tests, and docs on Day 10 with FERTILE/INFERTILE outcomes</t>
        </is>
      </c>
      <c r="F7" s="17" t="inlineStr">
        <is>
          <t>System-wide contract</t>
        </is>
      </c>
      <c r="G7" s="16" t="inlineStr">
        <is>
          <t>Codex</t>
        </is>
      </c>
      <c r="H7" s="15" t="inlineStr">
        <is>
          <t>Done</t>
        </is>
      </c>
      <c r="I7" s="16" t="inlineStr">
        <is>
          <t>P0 - Critical</t>
        </is>
      </c>
      <c r="J7" s="17" t="inlineStr">
        <is>
          <t>pytest + npm.cmd run build</t>
        </is>
      </c>
    </row>
    <row r="8" ht="22" customHeight="1">
      <c r="A8" s="13" t="inlineStr">
        <is>
          <t>TASK-BE-AUTH-01</t>
        </is>
      </c>
      <c r="B8" s="13" t="inlineStr">
        <is>
          <t>Phase 4C: Backend</t>
        </is>
      </c>
      <c r="C8" s="14" t="inlineStr">
        <is>
          <t>Backend API</t>
        </is>
      </c>
      <c r="D8" s="14" t="inlineStr">
        <is>
          <t>POST /api/v1/auth/login</t>
        </is>
      </c>
      <c r="E8" s="14" t="inlineStr">
        <is>
          <t>JWT authentication endpoint with bcrypt password verification and role extraction</t>
        </is>
      </c>
      <c r="F8" s="14" t="inlineStr">
        <is>
          <t>Use Case: Worker</t>
        </is>
      </c>
      <c r="G8" s="13" t="inlineStr">
        <is>
          <t>Codex</t>
        </is>
      </c>
      <c r="H8" s="15" t="inlineStr">
        <is>
          <t>Done</t>
        </is>
      </c>
      <c r="I8" s="13" t="inlineStr">
        <is>
          <t>P0 - Critical</t>
        </is>
      </c>
      <c r="J8" s="14" t="inlineStr">
        <is>
          <t>test_login_and_me</t>
        </is>
      </c>
    </row>
    <row r="9" ht="22" customHeight="1">
      <c r="A9" s="16" t="inlineStr">
        <is>
          <t>TASK-BE-AUTH-02</t>
        </is>
      </c>
      <c r="B9" s="16" t="inlineStr">
        <is>
          <t>Phase 4C: Backend</t>
        </is>
      </c>
      <c r="C9" s="17" t="inlineStr">
        <is>
          <t>Backend API</t>
        </is>
      </c>
      <c r="D9" s="17" t="inlineStr">
        <is>
          <t>GET /api/v1/auth/me</t>
        </is>
      </c>
      <c r="E9" s="17" t="inlineStr">
        <is>
          <t>Retrieve current authenticated user profile, permissions, and active status</t>
        </is>
      </c>
      <c r="F9" s="17" t="inlineStr">
        <is>
          <t>Use Case: Worker</t>
        </is>
      </c>
      <c r="G9" s="16" t="inlineStr">
        <is>
          <t>Codex</t>
        </is>
      </c>
      <c r="H9" s="15" t="inlineStr">
        <is>
          <t>Done</t>
        </is>
      </c>
      <c r="I9" s="16" t="inlineStr">
        <is>
          <t>P0 - Critical</t>
        </is>
      </c>
      <c r="J9" s="17" t="inlineStr">
        <is>
          <t>test_login_and_me</t>
        </is>
      </c>
    </row>
    <row r="10" ht="22" customHeight="1">
      <c r="A10" s="13" t="inlineStr">
        <is>
          <t>TASK-BE-AUTH-03</t>
        </is>
      </c>
      <c r="B10" s="13" t="inlineStr">
        <is>
          <t>Phase 4C: Backend</t>
        </is>
      </c>
      <c r="C10" s="14" t="inlineStr">
        <is>
          <t>Backend API</t>
        </is>
      </c>
      <c r="D10" s="14" t="inlineStr">
        <is>
          <t>POST /api/v1/auth/register</t>
        </is>
      </c>
      <c r="E10" s="14" t="inlineStr">
        <is>
          <t>Account registration endpoint with default Candling Worker role</t>
        </is>
      </c>
      <c r="F10" s="14" t="inlineStr">
        <is>
          <t>Use Case: Admin</t>
        </is>
      </c>
      <c r="G10" s="13" t="inlineStr">
        <is>
          <t>Codex</t>
        </is>
      </c>
      <c r="H10" s="15" t="inlineStr">
        <is>
          <t>Done</t>
        </is>
      </c>
      <c r="I10" s="13" t="inlineStr">
        <is>
          <t>P1 - High</t>
        </is>
      </c>
      <c r="J10" s="14" t="inlineStr">
        <is>
          <t>test_rbac_and_admin_security_protections</t>
        </is>
      </c>
    </row>
    <row r="11" ht="22" customHeight="1">
      <c r="A11" s="16" t="inlineStr">
        <is>
          <t>TASK-BE-USR-01</t>
        </is>
      </c>
      <c r="B11" s="16" t="inlineStr">
        <is>
          <t>Phase 4C: Backend</t>
        </is>
      </c>
      <c r="C11" s="17" t="inlineStr">
        <is>
          <t>Backend API</t>
        </is>
      </c>
      <c r="D11" s="17" t="inlineStr">
        <is>
          <t>GET /api/v1/users</t>
        </is>
      </c>
      <c r="E11" s="17" t="inlineStr">
        <is>
          <t>List all system users with role filters (Worker, Supervisor, Admin)</t>
        </is>
      </c>
      <c r="F11" s="17" t="inlineStr">
        <is>
          <t>Use Case: Admin</t>
        </is>
      </c>
      <c r="G11" s="16" t="inlineStr">
        <is>
          <t>Codex</t>
        </is>
      </c>
      <c r="H11" s="15" t="inlineStr">
        <is>
          <t>Done</t>
        </is>
      </c>
      <c r="I11" s="16" t="inlineStr">
        <is>
          <t>P1 - High</t>
        </is>
      </c>
      <c r="J11" s="17" t="inlineStr">
        <is>
          <t>test_rbac_and_admin_security_protections</t>
        </is>
      </c>
    </row>
    <row r="12" ht="22" customHeight="1">
      <c r="A12" s="13" t="inlineStr">
        <is>
          <t>TASK-BE-USR-02</t>
        </is>
      </c>
      <c r="B12" s="13" t="inlineStr">
        <is>
          <t>Phase 4C: Backend</t>
        </is>
      </c>
      <c r="C12" s="14" t="inlineStr">
        <is>
          <t>Backend API</t>
        </is>
      </c>
      <c r="D12" s="14" t="inlineStr">
        <is>
          <t>POST /api/v1/users</t>
        </is>
      </c>
      <c r="E12" s="14" t="inlineStr">
        <is>
          <t>Admin user creation endpoint with RBAC role assignment</t>
        </is>
      </c>
      <c r="F12" s="14" t="inlineStr">
        <is>
          <t>Use Case: Admin</t>
        </is>
      </c>
      <c r="G12" s="13" t="inlineStr">
        <is>
          <t>Codex</t>
        </is>
      </c>
      <c r="H12" s="15" t="inlineStr">
        <is>
          <t>Done</t>
        </is>
      </c>
      <c r="I12" s="13" t="inlineStr">
        <is>
          <t>P1 - High</t>
        </is>
      </c>
      <c r="J12" s="14" t="inlineStr">
        <is>
          <t>test_rbac_and_admin_security_protections</t>
        </is>
      </c>
    </row>
    <row r="13" ht="22" customHeight="1">
      <c r="A13" s="16" t="inlineStr">
        <is>
          <t>TASK-BE-USR-03</t>
        </is>
      </c>
      <c r="B13" s="16" t="inlineStr">
        <is>
          <t>Phase 4C: Backend</t>
        </is>
      </c>
      <c r="C13" s="17" t="inlineStr">
        <is>
          <t>Backend API</t>
        </is>
      </c>
      <c r="D13" s="17" t="inlineStr">
        <is>
          <t>PATCH /api/v1/users/{id}/status</t>
        </is>
      </c>
      <c r="E13" s="17" t="inlineStr">
        <is>
          <t>Toggle user active/deactivated state to revoke credentials</t>
        </is>
      </c>
      <c r="F13" s="17" t="inlineStr">
        <is>
          <t>Use Case: Admin</t>
        </is>
      </c>
      <c r="G13" s="16" t="inlineStr">
        <is>
          <t>Codex</t>
        </is>
      </c>
      <c r="H13" s="15" t="inlineStr">
        <is>
          <t>Done</t>
        </is>
      </c>
      <c r="I13" s="16" t="inlineStr">
        <is>
          <t>P1 - High</t>
        </is>
      </c>
      <c r="J13" s="17" t="inlineStr">
        <is>
          <t>test_rbac_and_admin_security_protections</t>
        </is>
      </c>
    </row>
    <row r="14" ht="22" customHeight="1">
      <c r="A14" s="13" t="inlineStr">
        <is>
          <t>TASK-BE-USR-04</t>
        </is>
      </c>
      <c r="B14" s="13" t="inlineStr">
        <is>
          <t>Phase 4C: Backend</t>
        </is>
      </c>
      <c r="C14" s="14" t="inlineStr">
        <is>
          <t>Backend API</t>
        </is>
      </c>
      <c r="D14" s="14" t="inlineStr">
        <is>
          <t>PATCH /api/v1/users/me/profile</t>
        </is>
      </c>
      <c r="E14" s="14" t="inlineStr">
        <is>
          <t>Allow authenticated user to update their display name and email</t>
        </is>
      </c>
      <c r="F14" s="14" t="inlineStr">
        <is>
          <t>Use Case: Worker</t>
        </is>
      </c>
      <c r="G14" s="13" t="inlineStr">
        <is>
          <t>Codex</t>
        </is>
      </c>
      <c r="H14" s="15" t="inlineStr">
        <is>
          <t>Done</t>
        </is>
      </c>
      <c r="I14" s="13" t="inlineStr">
        <is>
          <t>P2 - Medium</t>
        </is>
      </c>
      <c r="J14" s="14" t="inlineStr">
        <is>
          <t>test_user_profile_and_password_change_flow</t>
        </is>
      </c>
    </row>
    <row r="15" ht="22" customHeight="1">
      <c r="A15" s="16" t="inlineStr">
        <is>
          <t>TASK-BE-USR-05</t>
        </is>
      </c>
      <c r="B15" s="16" t="inlineStr">
        <is>
          <t>Phase 4C: Backend</t>
        </is>
      </c>
      <c r="C15" s="17" t="inlineStr">
        <is>
          <t>Backend API</t>
        </is>
      </c>
      <c r="D15" s="17" t="inlineStr">
        <is>
          <t>PATCH /api/v1/users/me/password</t>
        </is>
      </c>
      <c r="E15" s="17" t="inlineStr">
        <is>
          <t>Secure password change with old password verification</t>
        </is>
      </c>
      <c r="F15" s="17" t="inlineStr">
        <is>
          <t>Use Case: Worker</t>
        </is>
      </c>
      <c r="G15" s="16" t="inlineStr">
        <is>
          <t>Codex</t>
        </is>
      </c>
      <c r="H15" s="15" t="inlineStr">
        <is>
          <t>Done</t>
        </is>
      </c>
      <c r="I15" s="16" t="inlineStr">
        <is>
          <t>P1 - High</t>
        </is>
      </c>
      <c r="J15" s="17" t="inlineStr">
        <is>
          <t>test_user_profile_and_password_change_flow</t>
        </is>
      </c>
    </row>
    <row r="16" ht="22" customHeight="1">
      <c r="A16" s="13" t="inlineStr">
        <is>
          <t>TASK-BE-BAT-01</t>
        </is>
      </c>
      <c r="B16" s="13" t="inlineStr">
        <is>
          <t>Phase 4C: Backend</t>
        </is>
      </c>
      <c r="C16" s="14" t="inlineStr">
        <is>
          <t>Backend API</t>
        </is>
      </c>
      <c r="D16" s="14" t="inlineStr">
        <is>
          <t>GET /api/v1/batches</t>
        </is>
      </c>
      <c r="E16" s="14" t="inlineStr">
        <is>
          <t>List incubation batches with status and genetic group filters</t>
        </is>
      </c>
      <c r="F16" s="14" t="inlineStr">
        <is>
          <t>Use Case: Supervisor</t>
        </is>
      </c>
      <c r="G16" s="13" t="inlineStr">
        <is>
          <t>Codex</t>
        </is>
      </c>
      <c r="H16" s="15" t="inlineStr">
        <is>
          <t>Done</t>
        </is>
      </c>
      <c r="I16" s="13" t="inlineStr">
        <is>
          <t>P0 - Critical</t>
        </is>
      </c>
      <c r="J16" s="14" t="inlineStr">
        <is>
          <t>test_list_batches</t>
        </is>
      </c>
    </row>
    <row r="17" ht="22" customHeight="1">
      <c r="A17" s="16" t="inlineStr">
        <is>
          <t>TASK-BE-BAT-02</t>
        </is>
      </c>
      <c r="B17" s="16" t="inlineStr">
        <is>
          <t>Phase 4C: Backend</t>
        </is>
      </c>
      <c r="C17" s="17" t="inlineStr">
        <is>
          <t>Backend API</t>
        </is>
      </c>
      <c r="D17" s="17" t="inlineStr">
        <is>
          <t>GET /api/v1/batches/active</t>
        </is>
      </c>
      <c r="E17" s="17" t="inlineStr">
        <is>
          <t>Retrieve currently active incubator batches needing candling inspection</t>
        </is>
      </c>
      <c r="F17" s="17" t="inlineStr">
        <is>
          <t>Use Case: Supervisor</t>
        </is>
      </c>
      <c r="G17" s="16" t="inlineStr">
        <is>
          <t>Codex</t>
        </is>
      </c>
      <c r="H17" s="15" t="inlineStr">
        <is>
          <t>Done</t>
        </is>
      </c>
      <c r="I17" s="16" t="inlineStr">
        <is>
          <t>P0 - Critical</t>
        </is>
      </c>
      <c r="J17" s="17" t="inlineStr">
        <is>
          <t>test_list_batches</t>
        </is>
      </c>
    </row>
    <row r="18" ht="22" customHeight="1">
      <c r="A18" s="13" t="inlineStr">
        <is>
          <t>TASK-BE-BAT-03</t>
        </is>
      </c>
      <c r="B18" s="13" t="inlineStr">
        <is>
          <t>Phase 4C: Backend</t>
        </is>
      </c>
      <c r="C18" s="14" t="inlineStr">
        <is>
          <t>Backend API</t>
        </is>
      </c>
      <c r="D18" s="14" t="inlineStr">
        <is>
          <t>POST /api/v1/batches</t>
        </is>
      </c>
      <c r="E18" s="14" t="inlineStr">
        <is>
          <t>Create new incubation batch specifying breed (Itim/Khaki/Kayumanggi) and egg count</t>
        </is>
      </c>
      <c r="F18" s="14" t="inlineStr">
        <is>
          <t>Use Case: Supervisor</t>
        </is>
      </c>
      <c r="G18" s="13" t="inlineStr">
        <is>
          <t>Codex</t>
        </is>
      </c>
      <c r="H18" s="15" t="inlineStr">
        <is>
          <t>Done</t>
        </is>
      </c>
      <c r="I18" s="13" t="inlineStr">
        <is>
          <t>P0 - Critical</t>
        </is>
      </c>
      <c r="J18" s="14" t="inlineStr">
        <is>
          <t>test_batch_analytics_and_milestones</t>
        </is>
      </c>
    </row>
    <row r="19" ht="22" customHeight="1">
      <c r="A19" s="16" t="inlineStr">
        <is>
          <t>TASK-BE-BAT-04</t>
        </is>
      </c>
      <c r="B19" s="16" t="inlineStr">
        <is>
          <t>Phase 4C: Backend</t>
        </is>
      </c>
      <c r="C19" s="17" t="inlineStr">
        <is>
          <t>Backend API</t>
        </is>
      </c>
      <c r="D19" s="17" t="inlineStr">
        <is>
          <t>GET /api/v1/batches/{id}</t>
        </is>
      </c>
      <c r="E19" s="17" t="inlineStr">
        <is>
          <t>Get detailed batch record with tray matrix slots and current milestone</t>
        </is>
      </c>
      <c r="F19" s="17" t="inlineStr">
        <is>
          <t>Use Case: Supervisor</t>
        </is>
      </c>
      <c r="G19" s="16" t="inlineStr">
        <is>
          <t>Codex</t>
        </is>
      </c>
      <c r="H19" s="15" t="inlineStr">
        <is>
          <t>Done</t>
        </is>
      </c>
      <c r="I19" s="16" t="inlineStr">
        <is>
          <t>P0 - Critical</t>
        </is>
      </c>
      <c r="J19" s="17" t="inlineStr">
        <is>
          <t>test_batch_analytics_and_milestones</t>
        </is>
      </c>
    </row>
    <row r="20" ht="22" customHeight="1">
      <c r="A20" s="13" t="inlineStr">
        <is>
          <t>TASK-BE-BAT-05</t>
        </is>
      </c>
      <c r="B20" s="13" t="inlineStr">
        <is>
          <t>Phase 4C: Backend</t>
        </is>
      </c>
      <c r="C20" s="14" t="inlineStr">
        <is>
          <t>Backend API</t>
        </is>
      </c>
      <c r="D20" s="14" t="inlineStr">
        <is>
          <t>GET /api/v1/batches/{id}/analytics</t>
        </is>
      </c>
      <c r="E20" s="14" t="inlineStr">
        <is>
          <t>Incubation analytics: fertility rate, mortality curve, penoy salvage total</t>
        </is>
      </c>
      <c r="F20" s="14" t="inlineStr">
        <is>
          <t>Use Case: Supervisor</t>
        </is>
      </c>
      <c r="G20" s="13" t="inlineStr">
        <is>
          <t>Codex</t>
        </is>
      </c>
      <c r="H20" s="15" t="inlineStr">
        <is>
          <t>Done</t>
        </is>
      </c>
      <c r="I20" s="13" t="inlineStr">
        <is>
          <t>P0 - Critical</t>
        </is>
      </c>
      <c r="J20" s="14" t="inlineStr">
        <is>
          <t>test_batch_analytics_and_milestones</t>
        </is>
      </c>
    </row>
    <row r="21" ht="22" customHeight="1">
      <c r="A21" s="16" t="inlineStr">
        <is>
          <t>TASK-BE-BAT-06</t>
        </is>
      </c>
      <c r="B21" s="16" t="inlineStr">
        <is>
          <t>Phase 4C: Backend</t>
        </is>
      </c>
      <c r="C21" s="17" t="inlineStr">
        <is>
          <t>Backend API</t>
        </is>
      </c>
      <c r="D21" s="17" t="inlineStr">
        <is>
          <t>GET /api/v1/batches/{id}/forecast</t>
        </is>
      </c>
      <c r="E21" s="17" t="inlineStr">
        <is>
          <t>Hatch yield forecast based on the Day 10 fertility rate</t>
        </is>
      </c>
      <c r="F21" s="17" t="inlineStr">
        <is>
          <t>Use Case: Supervisor</t>
        </is>
      </c>
      <c r="G21" s="16" t="inlineStr">
        <is>
          <t>Codex</t>
        </is>
      </c>
      <c r="H21" s="15" t="inlineStr">
        <is>
          <t>Done</t>
        </is>
      </c>
      <c r="I21" s="16" t="inlineStr">
        <is>
          <t>P1 - High</t>
        </is>
      </c>
      <c r="J21" s="17" t="inlineStr">
        <is>
          <t>test_hatch_yield_forecast_and_backup_service</t>
        </is>
      </c>
    </row>
    <row r="22" ht="22" customHeight="1">
      <c r="A22" s="13" t="inlineStr">
        <is>
          <t>TASK-BE-BAT-07</t>
        </is>
      </c>
      <c r="B22" s="13" t="inlineStr">
        <is>
          <t>Phase 4C: Backend</t>
        </is>
      </c>
      <c r="C22" s="14" t="inlineStr">
        <is>
          <t>Backend API</t>
        </is>
      </c>
      <c r="D22" s="14" t="inlineStr">
        <is>
          <t>PUT /api/v1/batches/{id}</t>
        </is>
      </c>
      <c r="E22" s="14" t="inlineStr">
        <is>
          <t>Update batch metadata, notes, and incubator chamber ID</t>
        </is>
      </c>
      <c r="F22" s="14" t="inlineStr">
        <is>
          <t>Use Case: Supervisor</t>
        </is>
      </c>
      <c r="G22" s="13" t="inlineStr">
        <is>
          <t>Codex</t>
        </is>
      </c>
      <c r="H22" s="15" t="inlineStr">
        <is>
          <t>Done</t>
        </is>
      </c>
      <c r="I22" s="13" t="inlineStr">
        <is>
          <t>P1 - High</t>
        </is>
      </c>
      <c r="J22" s="14" t="inlineStr">
        <is>
          <t>test_batch_analytics_and_milestones</t>
        </is>
      </c>
    </row>
    <row r="23" ht="22" customHeight="1">
      <c r="A23" s="16" t="inlineStr">
        <is>
          <t>TASK-BE-BAT-08</t>
        </is>
      </c>
      <c r="B23" s="16" t="inlineStr">
        <is>
          <t>Phase 4C: Backend</t>
        </is>
      </c>
      <c r="C23" s="17" t="inlineStr">
        <is>
          <t>Backend API</t>
        </is>
      </c>
      <c r="D23" s="17" t="inlineStr">
        <is>
          <t>POST /api/v1/batches/{id}/advance-stage</t>
        </is>
      </c>
      <c r="E23" s="17" t="inlineStr">
        <is>
          <t>Advance lifecycle: Setting -&gt; Day 10 -&gt; Hatched -&gt; Completed</t>
        </is>
      </c>
      <c r="F23" s="17" t="inlineStr">
        <is>
          <t>Use Case: Supervisor</t>
        </is>
      </c>
      <c r="G23" s="16" t="inlineStr">
        <is>
          <t>Codex</t>
        </is>
      </c>
      <c r="H23" s="15" t="inlineStr">
        <is>
          <t>Done</t>
        </is>
      </c>
      <c r="I23" s="16" t="inlineStr">
        <is>
          <t>P0 - Critical</t>
        </is>
      </c>
      <c r="J23" s="17" t="inlineStr">
        <is>
          <t>test_batch_analytics_and_milestones</t>
        </is>
      </c>
    </row>
    <row r="24" ht="22" customHeight="1">
      <c r="A24" s="13" t="inlineStr">
        <is>
          <t>TASK-BE-BAT-09</t>
        </is>
      </c>
      <c r="B24" s="13" t="inlineStr">
        <is>
          <t>Phase 4C: Backend</t>
        </is>
      </c>
      <c r="C24" s="14" t="inlineStr">
        <is>
          <t>Backend API</t>
        </is>
      </c>
      <c r="D24" s="14" t="inlineStr">
        <is>
          <t>POST /api/v1/batches/{id}/finalize-hatch</t>
        </is>
      </c>
      <c r="E24" s="14" t="inlineStr">
        <is>
          <t>Close batch lifecycle and record final hatchling count on Day 28</t>
        </is>
      </c>
      <c r="F24" s="14" t="inlineStr">
        <is>
          <t>Use Case: Supervisor</t>
        </is>
      </c>
      <c r="G24" s="13" t="inlineStr">
        <is>
          <t>Codex</t>
        </is>
      </c>
      <c r="H24" s="15" t="inlineStr">
        <is>
          <t>Done</t>
        </is>
      </c>
      <c r="I24" s="13" t="inlineStr">
        <is>
          <t>P1 - High</t>
        </is>
      </c>
      <c r="J24" s="14" t="inlineStr">
        <is>
          <t>test_batch_analytics_and_milestones</t>
        </is>
      </c>
    </row>
    <row r="25" ht="22" customHeight="1">
      <c r="A25" s="16" t="inlineStr">
        <is>
          <t>TASK-BE-BAT-10</t>
        </is>
      </c>
      <c r="B25" s="16" t="inlineStr">
        <is>
          <t>Phase 4C: Backend</t>
        </is>
      </c>
      <c r="C25" s="17" t="inlineStr">
        <is>
          <t>Backend API</t>
        </is>
      </c>
      <c r="D25" s="17" t="inlineStr">
        <is>
          <t>GET /api/v1/batches/{id}/summary</t>
        </is>
      </c>
      <c r="E25" s="17" t="inlineStr">
        <is>
          <t>Comprehensive batch summary DTO for compliance and audit archiving</t>
        </is>
      </c>
      <c r="F25" s="17" t="inlineStr">
        <is>
          <t>Use Case: Supervisor</t>
        </is>
      </c>
      <c r="G25" s="16" t="inlineStr">
        <is>
          <t>Codex</t>
        </is>
      </c>
      <c r="H25" s="15" t="inlineStr">
        <is>
          <t>Done</t>
        </is>
      </c>
      <c r="I25" s="16" t="inlineStr">
        <is>
          <t>P1 - High</t>
        </is>
      </c>
      <c r="J25" s="17" t="inlineStr">
        <is>
          <t>test_batch_analytics_and_milestones</t>
        </is>
      </c>
    </row>
    <row r="26" ht="22" customHeight="1">
      <c r="A26" s="13" t="inlineStr">
        <is>
          <t>TASK-BE-BAT-11</t>
        </is>
      </c>
      <c r="B26" s="13" t="inlineStr">
        <is>
          <t>Phase 4C: Backend</t>
        </is>
      </c>
      <c r="C26" s="14" t="inlineStr">
        <is>
          <t>Backend API</t>
        </is>
      </c>
      <c r="D26" s="14" t="inlineStr">
        <is>
          <t>DELETE /api/v1/batches/{id}</t>
        </is>
      </c>
      <c r="E26" s="14" t="inlineStr">
        <is>
          <t>Soft-delete or purge batch (Admin only protection)</t>
        </is>
      </c>
      <c r="F26" s="14" t="inlineStr">
        <is>
          <t>Use Case: Admin</t>
        </is>
      </c>
      <c r="G26" s="13" t="inlineStr">
        <is>
          <t>Codex</t>
        </is>
      </c>
      <c r="H26" s="15" t="inlineStr">
        <is>
          <t>Done</t>
        </is>
      </c>
      <c r="I26" s="13" t="inlineStr">
        <is>
          <t>P2 - Medium</t>
        </is>
      </c>
      <c r="J26" s="14" t="inlineStr">
        <is>
          <t>test_rbac_and_admin_security_protections</t>
        </is>
      </c>
    </row>
    <row r="27" ht="22" customHeight="1">
      <c r="A27" s="16" t="inlineStr">
        <is>
          <t>TASK-BE-BAT-12</t>
        </is>
      </c>
      <c r="B27" s="16" t="inlineStr">
        <is>
          <t>Phase 4C: Backend</t>
        </is>
      </c>
      <c r="C27" s="17" t="inlineStr">
        <is>
          <t>Backend API</t>
        </is>
      </c>
      <c r="D27" s="17" t="inlineStr">
        <is>
          <t>POST /api/v1/batches/check-milestones</t>
        </is>
      </c>
      <c r="E27" s="17" t="inlineStr">
        <is>
          <t>Automated background cron to flag batches reaching Day 10, 18, 25</t>
        </is>
      </c>
      <c r="F27" s="17" t="inlineStr">
        <is>
          <t>System Flowchart</t>
        </is>
      </c>
      <c r="G27" s="16" t="inlineStr">
        <is>
          <t>Codex</t>
        </is>
      </c>
      <c r="H27" s="15" t="inlineStr">
        <is>
          <t>Done</t>
        </is>
      </c>
      <c r="I27" s="16" t="inlineStr">
        <is>
          <t>P1 - High</t>
        </is>
      </c>
      <c r="J27" s="17" t="inlineStr">
        <is>
          <t>test_batch_analytics_and_milestones</t>
        </is>
      </c>
    </row>
    <row r="28" ht="22" customHeight="1">
      <c r="A28" s="13" t="inlineStr">
        <is>
          <t>TASK-BE-SES-01</t>
        </is>
      </c>
      <c r="B28" s="13" t="inlineStr">
        <is>
          <t>Phase 4C: Backend</t>
        </is>
      </c>
      <c r="C28" s="14" t="inlineStr">
        <is>
          <t>Backend API</t>
        </is>
      </c>
      <c r="D28" s="14" t="inlineStr">
        <is>
          <t>GET /api/v1/sessions</t>
        </is>
      </c>
      <c r="E28" s="14" t="inlineStr">
        <is>
          <t>List all active and completed edge candling sorting sessions</t>
        </is>
      </c>
      <c r="F28" s="14" t="inlineStr">
        <is>
          <t>Use Case: Worker</t>
        </is>
      </c>
      <c r="G28" s="13" t="inlineStr">
        <is>
          <t>Codex</t>
        </is>
      </c>
      <c r="H28" s="15" t="inlineStr">
        <is>
          <t>Done</t>
        </is>
      </c>
      <c r="I28" s="13" t="inlineStr">
        <is>
          <t>P0 - Critical</t>
        </is>
      </c>
      <c r="J28" s="14" t="inlineStr">
        <is>
          <t>test_api.py</t>
        </is>
      </c>
    </row>
    <row r="29" ht="22" customHeight="1">
      <c r="A29" s="16" t="inlineStr">
        <is>
          <t>TASK-BE-SES-02</t>
        </is>
      </c>
      <c r="B29" s="16" t="inlineStr">
        <is>
          <t>Phase 4C: Backend</t>
        </is>
      </c>
      <c r="C29" s="17" t="inlineStr">
        <is>
          <t>Backend API</t>
        </is>
      </c>
      <c r="D29" s="17" t="inlineStr">
        <is>
          <t>POST /api/v1/sessions</t>
        </is>
      </c>
      <c r="E29" s="17" t="inlineStr">
        <is>
          <t>Start new candling session linked to batch and edge sorter device ID</t>
        </is>
      </c>
      <c r="F29" s="17" t="inlineStr">
        <is>
          <t>Use Case: Worker</t>
        </is>
      </c>
      <c r="G29" s="16" t="inlineStr">
        <is>
          <t>Codex</t>
        </is>
      </c>
      <c r="H29" s="15" t="inlineStr">
        <is>
          <t>Done</t>
        </is>
      </c>
      <c r="I29" s="16" t="inlineStr">
        <is>
          <t>P0 - Critical</t>
        </is>
      </c>
      <c r="J29" s="17" t="inlineStr">
        <is>
          <t>test_api.py</t>
        </is>
      </c>
    </row>
    <row r="30" ht="22" customHeight="1">
      <c r="A30" s="13" t="inlineStr">
        <is>
          <t>TASK-BE-SES-03</t>
        </is>
      </c>
      <c r="B30" s="13" t="inlineStr">
        <is>
          <t>Phase 4C: Backend</t>
        </is>
      </c>
      <c r="C30" s="14" t="inlineStr">
        <is>
          <t>Backend API</t>
        </is>
      </c>
      <c r="D30" s="14" t="inlineStr">
        <is>
          <t>GET /api/v1/sessions/{id}</t>
        </is>
      </c>
      <c r="E30" s="14" t="inlineStr">
        <is>
          <t>Get Day 10 progress: total, fertile, and infertile counts</t>
        </is>
      </c>
      <c r="F30" s="14" t="inlineStr">
        <is>
          <t>Use Case: Worker</t>
        </is>
      </c>
      <c r="G30" s="13" t="inlineStr">
        <is>
          <t>Codex</t>
        </is>
      </c>
      <c r="H30" s="15" t="inlineStr">
        <is>
          <t>Done</t>
        </is>
      </c>
      <c r="I30" s="13" t="inlineStr">
        <is>
          <t>P0 - Critical</t>
        </is>
      </c>
      <c r="J30" s="14" t="inlineStr">
        <is>
          <t>test_api.py</t>
        </is>
      </c>
    </row>
    <row r="31" ht="22" customHeight="1">
      <c r="A31" s="16" t="inlineStr">
        <is>
          <t>TASK-BE-SES-04</t>
        </is>
      </c>
      <c r="B31" s="16" t="inlineStr">
        <is>
          <t>Phase 4C: Backend</t>
        </is>
      </c>
      <c r="C31" s="17" t="inlineStr">
        <is>
          <t>Backend API</t>
        </is>
      </c>
      <c r="D31" s="17" t="inlineStr">
        <is>
          <t>PUT /api/v1/sessions/{id}/end</t>
        </is>
      </c>
      <c r="E31" s="17" t="inlineStr">
        <is>
          <t>Conclude candling session and trigger batch analytics recalculation</t>
        </is>
      </c>
      <c r="F31" s="17" t="inlineStr">
        <is>
          <t>Use Case: Worker</t>
        </is>
      </c>
      <c r="G31" s="16" t="inlineStr">
        <is>
          <t>Codex</t>
        </is>
      </c>
      <c r="H31" s="15" t="inlineStr">
        <is>
          <t>Done</t>
        </is>
      </c>
      <c r="I31" s="16" t="inlineStr">
        <is>
          <t>P0 - Critical</t>
        </is>
      </c>
      <c r="J31" s="17" t="inlineStr">
        <is>
          <t>test_api.py</t>
        </is>
      </c>
    </row>
    <row r="32" ht="22" customHeight="1">
      <c r="A32" s="13" t="inlineStr">
        <is>
          <t>TASK-BE-SCN-01</t>
        </is>
      </c>
      <c r="B32" s="13" t="inlineStr">
        <is>
          <t>Phase 4C: Backend</t>
        </is>
      </c>
      <c r="C32" s="14" t="inlineStr">
        <is>
          <t>Backend API</t>
        </is>
      </c>
      <c r="D32" s="14" t="inlineStr">
        <is>
          <t>POST /api/v1/scans/sync</t>
        </is>
      </c>
      <c r="E32" s="14" t="inlineStr">
        <is>
          <t>Idempotent batch scan sync with ON CONFLICT (scan_id) DO NOTHING</t>
        </is>
      </c>
      <c r="F32" s="14" t="inlineStr">
        <is>
          <t>System Flowchart</t>
        </is>
      </c>
      <c r="G32" s="13" t="inlineStr">
        <is>
          <t>Codex</t>
        </is>
      </c>
      <c r="H32" s="15" t="inlineStr">
        <is>
          <t>Done</t>
        </is>
      </c>
      <c r="I32" s="13" t="inlineStr">
        <is>
          <t>P0 - Critical</t>
        </is>
      </c>
      <c r="J32" s="14" t="inlineStr">
        <is>
          <t>test_analytics_overview</t>
        </is>
      </c>
    </row>
    <row r="33" ht="22" customHeight="1">
      <c r="A33" s="16" t="inlineStr">
        <is>
          <t>TASK-BE-SCN-02</t>
        </is>
      </c>
      <c r="B33" s="16" t="inlineStr">
        <is>
          <t>Phase 4C: Backend</t>
        </is>
      </c>
      <c r="C33" s="17" t="inlineStr">
        <is>
          <t>Backend API</t>
        </is>
      </c>
      <c r="D33" s="17" t="inlineStr">
        <is>
          <t>POST /api/v1/scans/upload-image</t>
        </is>
      </c>
      <c r="E33" s="17" t="inlineStr">
        <is>
          <t>Upload high-res candling frame image associated with scan ID</t>
        </is>
      </c>
      <c r="F33" s="17" t="inlineStr">
        <is>
          <t>System Flowchart</t>
        </is>
      </c>
      <c r="G33" s="16" t="inlineStr">
        <is>
          <t>Codex</t>
        </is>
      </c>
      <c r="H33" s="15" t="inlineStr">
        <is>
          <t>Done</t>
        </is>
      </c>
      <c r="I33" s="16" t="inlineStr">
        <is>
          <t>P1 - High</t>
        </is>
      </c>
      <c r="J33" s="17" t="inlineStr">
        <is>
          <t>test_api.py</t>
        </is>
      </c>
    </row>
    <row r="34" ht="22" customHeight="1">
      <c r="A34" s="13" t="inlineStr">
        <is>
          <t>TASK-BE-SCN-03</t>
        </is>
      </c>
      <c r="B34" s="13" t="inlineStr">
        <is>
          <t>Phase 4C: Backend</t>
        </is>
      </c>
      <c r="C34" s="14" t="inlineStr">
        <is>
          <t>Backend API</t>
        </is>
      </c>
      <c r="D34" s="14" t="inlineStr">
        <is>
          <t>GET /api/v1/scans</t>
        </is>
      </c>
      <c r="E34" s="14" t="inlineStr">
        <is>
          <t>Query historical scans with batch_id, stage, class, date filters</t>
        </is>
      </c>
      <c r="F34" s="14" t="inlineStr">
        <is>
          <t>Use Case: Supervisor</t>
        </is>
      </c>
      <c r="G34" s="13" t="inlineStr">
        <is>
          <t>Codex</t>
        </is>
      </c>
      <c r="H34" s="15" t="inlineStr">
        <is>
          <t>Done</t>
        </is>
      </c>
      <c r="I34" s="13" t="inlineStr">
        <is>
          <t>P0 - Critical</t>
        </is>
      </c>
      <c r="J34" s="14" t="inlineStr">
        <is>
          <t>test_api.py</t>
        </is>
      </c>
    </row>
    <row r="35" ht="22" customHeight="1">
      <c r="A35" s="16" t="inlineStr">
        <is>
          <t>TASK-BE-SCN-04</t>
        </is>
      </c>
      <c r="B35" s="16" t="inlineStr">
        <is>
          <t>Phase 4C: Backend</t>
        </is>
      </c>
      <c r="C35" s="17" t="inlineStr">
        <is>
          <t>Backend API</t>
        </is>
      </c>
      <c r="D35" s="17" t="inlineStr">
        <is>
          <t>GET /api/v1/scans/{id}</t>
        </is>
      </c>
      <c r="E35" s="17" t="inlineStr">
        <is>
          <t>Retrieve single scan record with confidence, bounding box, image URI</t>
        </is>
      </c>
      <c r="F35" s="17" t="inlineStr">
        <is>
          <t>Use Case: Supervisor</t>
        </is>
      </c>
      <c r="G35" s="16" t="inlineStr">
        <is>
          <t>Codex</t>
        </is>
      </c>
      <c r="H35" s="15" t="inlineStr">
        <is>
          <t>Done</t>
        </is>
      </c>
      <c r="I35" s="16" t="inlineStr">
        <is>
          <t>P1 - High</t>
        </is>
      </c>
      <c r="J35" s="17" t="inlineStr">
        <is>
          <t>test_api.py</t>
        </is>
      </c>
    </row>
    <row r="36" ht="22" customHeight="1">
      <c r="A36" s="13" t="inlineStr">
        <is>
          <t>TASK-BE-SCN-05</t>
        </is>
      </c>
      <c r="B36" s="13" t="inlineStr">
        <is>
          <t>Phase 4C: Backend</t>
        </is>
      </c>
      <c r="C36" s="14" t="inlineStr">
        <is>
          <t>Backend API</t>
        </is>
      </c>
      <c r="D36" s="14" t="inlineStr">
        <is>
          <t>PATCH /api/v1/scans/{id}/override</t>
        </is>
      </c>
      <c r="E36" s="14" t="inlineStr">
        <is>
          <t>Human-in-the-loop classification override with audit trail logging</t>
        </is>
      </c>
      <c r="F36" s="14" t="inlineStr">
        <is>
          <t>System Flowchart Node 10</t>
        </is>
      </c>
      <c r="G36" s="13" t="inlineStr">
        <is>
          <t>Codex</t>
        </is>
      </c>
      <c r="H36" s="15" t="inlineStr">
        <is>
          <t>Done</t>
        </is>
      </c>
      <c r="I36" s="13" t="inlineStr">
        <is>
          <t>P0 - Critical</t>
        </is>
      </c>
      <c r="J36" s="14" t="inlineStr">
        <is>
          <t>test_human_in_the_loop_override_audit_logging</t>
        </is>
      </c>
    </row>
    <row r="37" ht="22" customHeight="1">
      <c r="A37" s="16" t="inlineStr">
        <is>
          <t>TASK-BE-ANL-01</t>
        </is>
      </c>
      <c r="B37" s="16" t="inlineStr">
        <is>
          <t>Phase 4C: Backend</t>
        </is>
      </c>
      <c r="C37" s="17" t="inlineStr">
        <is>
          <t>Backend API</t>
        </is>
      </c>
      <c r="D37" s="17" t="inlineStr">
        <is>
          <t>GET /api/v1/analytics/overview</t>
        </is>
      </c>
      <c r="E37" s="17" t="inlineStr">
        <is>
          <t>Aggregated hatchery statistics (total eggs, fertility rate, cull rate)</t>
        </is>
      </c>
      <c r="F37" s="17" t="inlineStr">
        <is>
          <t>Use Case: Supervisor</t>
        </is>
      </c>
      <c r="G37" s="16" t="inlineStr">
        <is>
          <t>Codex</t>
        </is>
      </c>
      <c r="H37" s="15" t="inlineStr">
        <is>
          <t>Done</t>
        </is>
      </c>
      <c r="I37" s="16" t="inlineStr">
        <is>
          <t>P0 - Critical</t>
        </is>
      </c>
      <c r="J37" s="17" t="inlineStr">
        <is>
          <t>test_analytics_overview</t>
        </is>
      </c>
    </row>
    <row r="38" ht="22" customHeight="1">
      <c r="A38" s="13" t="inlineStr">
        <is>
          <t>TASK-BE-ANL-02</t>
        </is>
      </c>
      <c r="B38" s="13" t="inlineStr">
        <is>
          <t>Phase 4C: Backend</t>
        </is>
      </c>
      <c r="C38" s="14" t="inlineStr">
        <is>
          <t>Backend API</t>
        </is>
      </c>
      <c r="D38" s="14" t="inlineStr">
        <is>
          <t>GET /api/v1/analytics/breed-comparison</t>
        </is>
      </c>
      <c r="E38" s="14" t="inlineStr">
        <is>
          <t>Disaggregated analytics comparing IP-Itim vs IP-Khaki vs IP-Kayumanggi</t>
        </is>
      </c>
      <c r="F38" s="14" t="inlineStr">
        <is>
          <t>Methodology 3.1</t>
        </is>
      </c>
      <c r="G38" s="13" t="inlineStr">
        <is>
          <t>Codex</t>
        </is>
      </c>
      <c r="H38" s="15" t="inlineStr">
        <is>
          <t>Done</t>
        </is>
      </c>
      <c r="I38" s="13" t="inlineStr">
        <is>
          <t>P1 - High</t>
        </is>
      </c>
      <c r="J38" s="14" t="inlineStr">
        <is>
          <t>test_analytics_overview</t>
        </is>
      </c>
    </row>
    <row r="39" ht="22" customHeight="1">
      <c r="A39" s="16" t="inlineStr">
        <is>
          <t>TASK-BE-ANL-03</t>
        </is>
      </c>
      <c r="B39" s="16" t="inlineStr">
        <is>
          <t>Phase 4C: Backend</t>
        </is>
      </c>
      <c r="C39" s="17" t="inlineStr">
        <is>
          <t>Backend API</t>
        </is>
      </c>
      <c r="D39" s="17" t="inlineStr">
        <is>
          <t>GET /api/v1/analytics/mortality-trends</t>
        </is>
      </c>
      <c r="E39" s="17" t="inlineStr">
        <is>
          <t>Longitudinal mortality tracking across batches and candling stages</t>
        </is>
      </c>
      <c r="F39" s="17" t="inlineStr">
        <is>
          <t>Use Case: Supervisor</t>
        </is>
      </c>
      <c r="G39" s="16" t="inlineStr">
        <is>
          <t>Codex</t>
        </is>
      </c>
      <c r="H39" s="15" t="inlineStr">
        <is>
          <t>Done</t>
        </is>
      </c>
      <c r="I39" s="16" t="inlineStr">
        <is>
          <t>P1 - High</t>
        </is>
      </c>
      <c r="J39" s="17" t="inlineStr">
        <is>
          <t>test_mortality_progression</t>
        </is>
      </c>
    </row>
    <row r="40" ht="22" customHeight="1">
      <c r="A40" s="13" t="inlineStr">
        <is>
          <t>TASK-BE-ANL-04</t>
        </is>
      </c>
      <c r="B40" s="13" t="inlineStr">
        <is>
          <t>Phase 4C: Backend</t>
        </is>
      </c>
      <c r="C40" s="14" t="inlineStr">
        <is>
          <t>Backend API</t>
        </is>
      </c>
      <c r="D40" s="14" t="inlineStr">
        <is>
          <t>GET /api/v1/analytics/mortality-progression</t>
        </is>
      </c>
      <c r="E40" s="14" t="inlineStr">
        <is>
          <t>Day 10 cull analysis by breed</t>
        </is>
      </c>
      <c r="F40" s="14" t="inlineStr">
        <is>
          <t>Methodology 3.1</t>
        </is>
      </c>
      <c r="G40" s="13" t="inlineStr">
        <is>
          <t>Codex</t>
        </is>
      </c>
      <c r="H40" s="15" t="inlineStr">
        <is>
          <t>Done</t>
        </is>
      </c>
      <c r="I40" s="13" t="inlineStr">
        <is>
          <t>P1 - High</t>
        </is>
      </c>
      <c r="J40" s="14" t="inlineStr">
        <is>
          <t>test_mortality_progression</t>
        </is>
      </c>
    </row>
    <row r="41" ht="22" customHeight="1">
      <c r="A41" s="16" t="inlineStr">
        <is>
          <t>TASK-BE-ANL-05</t>
        </is>
      </c>
      <c r="B41" s="16" t="inlineStr">
        <is>
          <t>Phase 4C: Backend</t>
        </is>
      </c>
      <c r="C41" s="17" t="inlineStr">
        <is>
          <t>Backend API</t>
        </is>
      </c>
      <c r="D41" s="17" t="inlineStr">
        <is>
          <t>GET /api/v1/analytics/economic-yield</t>
        </is>
      </c>
      <c r="E41" s="17" t="inlineStr">
        <is>
          <t>Day 10 Penoy salvage revenue (Count * P14.00) &amp; thermal energy savings</t>
        </is>
      </c>
      <c r="F41" s="17" t="inlineStr">
        <is>
          <t>AGENTS.md Tenet 3</t>
        </is>
      </c>
      <c r="G41" s="16" t="inlineStr">
        <is>
          <t>Codex</t>
        </is>
      </c>
      <c r="H41" s="15" t="inlineStr">
        <is>
          <t>Done</t>
        </is>
      </c>
      <c r="I41" s="16" t="inlineStr">
        <is>
          <t>P0 - Critical</t>
        </is>
      </c>
      <c r="J41" s="17" t="inlineStr">
        <is>
          <t>test_analytics_economic_yield</t>
        </is>
      </c>
    </row>
    <row r="42" ht="22" customHeight="1">
      <c r="A42" s="13" t="inlineStr">
        <is>
          <t>TASK-BE-REP-01</t>
        </is>
      </c>
      <c r="B42" s="13" t="inlineStr">
        <is>
          <t>Phase 4C: Backend</t>
        </is>
      </c>
      <c r="C42" s="14" t="inlineStr">
        <is>
          <t>Backend API</t>
        </is>
      </c>
      <c r="D42" s="14" t="inlineStr">
        <is>
          <t>GET /api/v1/reports/batch/{id}/csv</t>
        </is>
      </c>
      <c r="E42" s="14" t="inlineStr">
        <is>
          <t>Export CSV spreadsheet containing detailed scan log for batch</t>
        </is>
      </c>
      <c r="F42" s="14" t="inlineStr">
        <is>
          <t>Use Case: Supervisor</t>
        </is>
      </c>
      <c r="G42" s="13" t="inlineStr">
        <is>
          <t>Codex</t>
        </is>
      </c>
      <c r="H42" s="15" t="inlineStr">
        <is>
          <t>Done</t>
        </is>
      </c>
      <c r="I42" s="13" t="inlineStr">
        <is>
          <t>P1 - High</t>
        </is>
      </c>
      <c r="J42" s="14" t="inlineStr">
        <is>
          <t>test_pdf_and_csv_reports</t>
        </is>
      </c>
    </row>
    <row r="43" ht="22" customHeight="1">
      <c r="A43" s="16" t="inlineStr">
        <is>
          <t>TASK-BE-REP-02</t>
        </is>
      </c>
      <c r="B43" s="16" t="inlineStr">
        <is>
          <t>Phase 4C: Backend</t>
        </is>
      </c>
      <c r="C43" s="17" t="inlineStr">
        <is>
          <t>Backend API</t>
        </is>
      </c>
      <c r="D43" s="17" t="inlineStr">
        <is>
          <t>GET /api/v1/reports/batch/{id}/pdf</t>
        </is>
      </c>
      <c r="E43" s="17" t="inlineStr">
        <is>
          <t>Generate official Foundation University formatted PDF compliance report</t>
        </is>
      </c>
      <c r="F43" s="17" t="inlineStr">
        <is>
          <t>Use Case: Supervisor</t>
        </is>
      </c>
      <c r="G43" s="16" t="inlineStr">
        <is>
          <t>Codex</t>
        </is>
      </c>
      <c r="H43" s="15" t="inlineStr">
        <is>
          <t>Done</t>
        </is>
      </c>
      <c r="I43" s="16" t="inlineStr">
        <is>
          <t>P0 - Critical</t>
        </is>
      </c>
      <c r="J43" s="17" t="inlineStr">
        <is>
          <t>test_pdf_and_csv_reports</t>
        </is>
      </c>
    </row>
    <row r="44" ht="22" customHeight="1">
      <c r="A44" s="13" t="inlineStr">
        <is>
          <t>TASK-BE-DEV-01</t>
        </is>
      </c>
      <c r="B44" s="13" t="inlineStr">
        <is>
          <t>Phase 4C: Backend</t>
        </is>
      </c>
      <c r="C44" s="14" t="inlineStr">
        <is>
          <t>Backend API</t>
        </is>
      </c>
      <c r="D44" s="14" t="inlineStr">
        <is>
          <t>GET /api/v1/devices</t>
        </is>
      </c>
      <c r="E44" s="14" t="inlineStr">
        <is>
          <t>List registered edge sorter hardware rigs with online/offline status</t>
        </is>
      </c>
      <c r="F44" s="14" t="inlineStr">
        <is>
          <t>Use Case: Admin</t>
        </is>
      </c>
      <c r="G44" s="13" t="inlineStr">
        <is>
          <t>Codex</t>
        </is>
      </c>
      <c r="H44" s="15" t="inlineStr">
        <is>
          <t>Done</t>
        </is>
      </c>
      <c r="I44" s="13" t="inlineStr">
        <is>
          <t>P1 - High</t>
        </is>
      </c>
      <c r="J44" s="14" t="inlineStr">
        <is>
          <t>test_api.py</t>
        </is>
      </c>
    </row>
    <row r="45" ht="22" customHeight="1">
      <c r="A45" s="16" t="inlineStr">
        <is>
          <t>TASK-BE-DEV-02</t>
        </is>
      </c>
      <c r="B45" s="16" t="inlineStr">
        <is>
          <t>Phase 4C: Backend</t>
        </is>
      </c>
      <c r="C45" s="17" t="inlineStr">
        <is>
          <t>Backend API</t>
        </is>
      </c>
      <c r="D45" s="17" t="inlineStr">
        <is>
          <t>POST /api/v1/devices/register</t>
        </is>
      </c>
      <c r="E45" s="17" t="inlineStr">
        <is>
          <t>Register new ESP32 / Raspberry Pi edge node with MAC &amp; station ID</t>
        </is>
      </c>
      <c r="F45" s="17" t="inlineStr">
        <is>
          <t>Use Case: Admin</t>
        </is>
      </c>
      <c r="G45" s="16" t="inlineStr">
        <is>
          <t>Codex</t>
        </is>
      </c>
      <c r="H45" s="15" t="inlineStr">
        <is>
          <t>Done</t>
        </is>
      </c>
      <c r="I45" s="16" t="inlineStr">
        <is>
          <t>P1 - High</t>
        </is>
      </c>
      <c r="J45" s="17" t="inlineStr">
        <is>
          <t>test_api.py</t>
        </is>
      </c>
    </row>
    <row r="46" ht="22" customHeight="1">
      <c r="A46" s="13" t="inlineStr">
        <is>
          <t>TASK-BE-DEV-03</t>
        </is>
      </c>
      <c r="B46" s="13" t="inlineStr">
        <is>
          <t>Phase 4C: Backend</t>
        </is>
      </c>
      <c r="C46" s="14" t="inlineStr">
        <is>
          <t>Backend API</t>
        </is>
      </c>
      <c r="D46" s="14" t="inlineStr">
        <is>
          <t>POST /api/v1/devices/{id}/heartbeat</t>
        </is>
      </c>
      <c r="E46" s="14" t="inlineStr">
        <is>
          <t>Edge node heartbeat ping transmitting status, temperature, and FPS</t>
        </is>
      </c>
      <c r="F46" s="14" t="inlineStr">
        <is>
          <t>Use Case: Admin</t>
        </is>
      </c>
      <c r="G46" s="13" t="inlineStr">
        <is>
          <t>Codex</t>
        </is>
      </c>
      <c r="H46" s="15" t="inlineStr">
        <is>
          <t>Done</t>
        </is>
      </c>
      <c r="I46" s="13" t="inlineStr">
        <is>
          <t>P1 - High</t>
        </is>
      </c>
      <c r="J46" s="14" t="inlineStr">
        <is>
          <t>test_api.py</t>
        </is>
      </c>
    </row>
    <row r="47" ht="22" customHeight="1">
      <c r="A47" s="16" t="inlineStr">
        <is>
          <t>TASK-BE-SET-01</t>
        </is>
      </c>
      <c r="B47" s="16" t="inlineStr">
        <is>
          <t>Phase 4C: Backend</t>
        </is>
      </c>
      <c r="C47" s="17" t="inlineStr">
        <is>
          <t>Backend API</t>
        </is>
      </c>
      <c r="D47" s="17" t="inlineStr">
        <is>
          <t>GET /api/v1/settings</t>
        </is>
      </c>
      <c r="E47" s="17" t="inlineStr">
        <is>
          <t>Fetch system settings (penoy price P14, confidence threshold, sync interval)</t>
        </is>
      </c>
      <c r="F47" s="17" t="inlineStr">
        <is>
          <t>Use Case: Admin</t>
        </is>
      </c>
      <c r="G47" s="16" t="inlineStr">
        <is>
          <t>Codex</t>
        </is>
      </c>
      <c r="H47" s="15" t="inlineStr">
        <is>
          <t>Done</t>
        </is>
      </c>
      <c r="I47" s="16" t="inlineStr">
        <is>
          <t>P1 - High</t>
        </is>
      </c>
      <c r="J47" s="17" t="inlineStr">
        <is>
          <t>test_settings_endpoint</t>
        </is>
      </c>
    </row>
    <row r="48" ht="22" customHeight="1">
      <c r="A48" s="13" t="inlineStr">
        <is>
          <t>TASK-BE-SET-02</t>
        </is>
      </c>
      <c r="B48" s="13" t="inlineStr">
        <is>
          <t>Phase 4C: Backend</t>
        </is>
      </c>
      <c r="C48" s="14" t="inlineStr">
        <is>
          <t>Backend API</t>
        </is>
      </c>
      <c r="D48" s="14" t="inlineStr">
        <is>
          <t>PUT /api/v1/settings</t>
        </is>
      </c>
      <c r="E48" s="14" t="inlineStr">
        <is>
          <t>Update system settings with admin validation</t>
        </is>
      </c>
      <c r="F48" s="14" t="inlineStr">
        <is>
          <t>Use Case: Admin</t>
        </is>
      </c>
      <c r="G48" s="13" t="inlineStr">
        <is>
          <t>Codex</t>
        </is>
      </c>
      <c r="H48" s="15" t="inlineStr">
        <is>
          <t>Done</t>
        </is>
      </c>
      <c r="I48" s="13" t="inlineStr">
        <is>
          <t>P1 - High</t>
        </is>
      </c>
      <c r="J48" s="14" t="inlineStr">
        <is>
          <t>test_settings_endpoint</t>
        </is>
      </c>
    </row>
    <row r="49" ht="22" customHeight="1">
      <c r="A49" s="16" t="inlineStr">
        <is>
          <t>TASK-BE-SET-03</t>
        </is>
      </c>
      <c r="B49" s="16" t="inlineStr">
        <is>
          <t>Phase 4C: Backend</t>
        </is>
      </c>
      <c r="C49" s="17" t="inlineStr">
        <is>
          <t>Backend API</t>
        </is>
      </c>
      <c r="D49" s="17" t="inlineStr">
        <is>
          <t>POST /api/v1/settings/backups/create</t>
        </is>
      </c>
      <c r="E49" s="17" t="inlineStr">
        <is>
          <t>Trigger compressed JSON.GZ snapshot of PostgreSQL database</t>
        </is>
      </c>
      <c r="F49" s="17" t="inlineStr">
        <is>
          <t>AGENTS.md Tenet 1</t>
        </is>
      </c>
      <c r="G49" s="16" t="inlineStr">
        <is>
          <t>Codex</t>
        </is>
      </c>
      <c r="H49" s="15" t="inlineStr">
        <is>
          <t>Done</t>
        </is>
      </c>
      <c r="I49" s="16" t="inlineStr">
        <is>
          <t>P1 - High</t>
        </is>
      </c>
      <c r="J49" s="17" t="inlineStr">
        <is>
          <t>test_hatch_yield_forecast_and_backup_service</t>
        </is>
      </c>
    </row>
    <row r="50" ht="22" customHeight="1">
      <c r="A50" s="13" t="inlineStr">
        <is>
          <t>TASK-BE-SET-04</t>
        </is>
      </c>
      <c r="B50" s="13" t="inlineStr">
        <is>
          <t>Phase 4C: Backend</t>
        </is>
      </c>
      <c r="C50" s="14" t="inlineStr">
        <is>
          <t>Backend API</t>
        </is>
      </c>
      <c r="D50" s="14" t="inlineStr">
        <is>
          <t>GET /api/v1/settings/backups</t>
        </is>
      </c>
      <c r="E50" s="14" t="inlineStr">
        <is>
          <t>List available database backup archive files</t>
        </is>
      </c>
      <c r="F50" s="14" t="inlineStr">
        <is>
          <t>Use Case: Admin</t>
        </is>
      </c>
      <c r="G50" s="13" t="inlineStr">
        <is>
          <t>Codex</t>
        </is>
      </c>
      <c r="H50" s="15" t="inlineStr">
        <is>
          <t>Done</t>
        </is>
      </c>
      <c r="I50" s="13" t="inlineStr">
        <is>
          <t>P2 - Medium</t>
        </is>
      </c>
      <c r="J50" s="14" t="inlineStr">
        <is>
          <t>test_hatch_yield_forecast_and_backup_service</t>
        </is>
      </c>
    </row>
    <row r="51" ht="22" customHeight="1">
      <c r="A51" s="16" t="inlineStr">
        <is>
          <t>TASK-BE-SET-05</t>
        </is>
      </c>
      <c r="B51" s="16" t="inlineStr">
        <is>
          <t>Phase 4C: Backend</t>
        </is>
      </c>
      <c r="C51" s="17" t="inlineStr">
        <is>
          <t>Backend API</t>
        </is>
      </c>
      <c r="D51" s="17" t="inlineStr">
        <is>
          <t>GET /api/v1/settings/backups/{file}/download</t>
        </is>
      </c>
      <c r="E51" s="17" t="inlineStr">
        <is>
          <t>Secure endpoint to download encrypted database backup</t>
        </is>
      </c>
      <c r="F51" s="17" t="inlineStr">
        <is>
          <t>Use Case: Admin</t>
        </is>
      </c>
      <c r="G51" s="16" t="inlineStr">
        <is>
          <t>Codex</t>
        </is>
      </c>
      <c r="H51" s="15" t="inlineStr">
        <is>
          <t>Done</t>
        </is>
      </c>
      <c r="I51" s="16" t="inlineStr">
        <is>
          <t>P2 - Medium</t>
        </is>
      </c>
      <c r="J51" s="17" t="inlineStr">
        <is>
          <t>test_hatch_yield_forecast_and_backup_service</t>
        </is>
      </c>
    </row>
    <row r="52" ht="22" customHeight="1">
      <c r="A52" s="13" t="inlineStr">
        <is>
          <t>TASK-BE-AUD-01</t>
        </is>
      </c>
      <c r="B52" s="13" t="inlineStr">
        <is>
          <t>Phase 4C: Backend</t>
        </is>
      </c>
      <c r="C52" s="14" t="inlineStr">
        <is>
          <t>Backend API</t>
        </is>
      </c>
      <c r="D52" s="14" t="inlineStr">
        <is>
          <t>GET /api/v1/audit_logs</t>
        </is>
      </c>
      <c r="E52" s="14" t="inlineStr">
        <is>
          <t>Query immutable system audit trail with user and timestamp filters</t>
        </is>
      </c>
      <c r="F52" s="14" t="inlineStr">
        <is>
          <t>Use Case: Admin</t>
        </is>
      </c>
      <c r="G52" s="13" t="inlineStr">
        <is>
          <t>Codex</t>
        </is>
      </c>
      <c r="H52" s="15" t="inlineStr">
        <is>
          <t>Done</t>
        </is>
      </c>
      <c r="I52" s="13" t="inlineStr">
        <is>
          <t>P0 - Critical</t>
        </is>
      </c>
      <c r="J52" s="14" t="inlineStr">
        <is>
          <t>test_human_in_the_loop_override_audit_logging</t>
        </is>
      </c>
    </row>
    <row r="53" ht="22" customHeight="1">
      <c r="A53" s="16" t="inlineStr">
        <is>
          <t>TASK-EDGE-CAM-01</t>
        </is>
      </c>
      <c r="B53" s="16" t="inlineStr">
        <is>
          <t>Phase 4B: Edge App</t>
        </is>
      </c>
      <c r="C53" s="17" t="inlineStr">
        <is>
          <t>Edge CV</t>
        </is>
      </c>
      <c r="D53" s="17" t="inlineStr">
        <is>
          <t>Multi-Threaded Circular Frame Grabber</t>
        </is>
      </c>
      <c r="E53" s="17" t="inlineStr">
        <is>
          <t>Thread 1: OpenCV DirectShow/V4L2 continuous circular buffer drain</t>
        </is>
      </c>
      <c r="F53" s="17" t="inlineStr">
        <is>
          <t>AGENTS.md Edge</t>
        </is>
      </c>
      <c r="G53" s="16" t="inlineStr">
        <is>
          <t>Codex</t>
        </is>
      </c>
      <c r="H53" s="15" t="inlineStr">
        <is>
          <t>Done</t>
        </is>
      </c>
      <c r="I53" s="16" t="inlineStr">
        <is>
          <t>P0 - Critical</t>
        </is>
      </c>
      <c r="J53" s="17" t="inlineStr">
        <is>
          <t>test_camera_mock_generation_and_lifecycle</t>
        </is>
      </c>
    </row>
    <row r="54" ht="22" customHeight="1">
      <c r="A54" s="13" t="inlineStr">
        <is>
          <t>TASK-EDGE-CAM-02</t>
        </is>
      </c>
      <c r="B54" s="13" t="inlineStr">
        <is>
          <t>Phase 4B: Edge App</t>
        </is>
      </c>
      <c r="C54" s="14" t="inlineStr">
        <is>
          <t>Edge CV</t>
        </is>
      </c>
      <c r="D54" s="14" t="inlineStr">
        <is>
          <t>Camera Disconnect Recovery &amp; Mock Mode</t>
        </is>
      </c>
      <c r="E54" s="14" t="inlineStr">
        <is>
          <t>Auto-reconnect USB camera and generate mock frames for offline dev</t>
        </is>
      </c>
      <c r="F54" s="14" t="inlineStr">
        <is>
          <t>AGENTS.md Edge</t>
        </is>
      </c>
      <c r="G54" s="13" t="inlineStr">
        <is>
          <t>Codex</t>
        </is>
      </c>
      <c r="H54" s="15" t="inlineStr">
        <is>
          <t>Done</t>
        </is>
      </c>
      <c r="I54" s="13" t="inlineStr">
        <is>
          <t>P1 - High</t>
        </is>
      </c>
      <c r="J54" s="14" t="inlineStr">
        <is>
          <t>test_camera_mock_generation_and_lifecycle</t>
        </is>
      </c>
    </row>
    <row r="55" ht="22" customHeight="1">
      <c r="A55" s="16" t="inlineStr">
        <is>
          <t>TASK-EDGE-AI-01</t>
        </is>
      </c>
      <c r="B55" s="16" t="inlineStr">
        <is>
          <t>Phase 4B: Edge App</t>
        </is>
      </c>
      <c r="C55" s="17" t="inlineStr">
        <is>
          <t>Edge CV</t>
        </is>
      </c>
      <c r="D55" s="17" t="inlineStr">
        <is>
          <t>ONNX Runtime FP16 Inference Engine</t>
        </is>
      </c>
      <c r="E55" s="17" t="inlineStr">
        <is>
          <t>Thread 2: ONNX Runtime execution provider running quantized YOLOv8</t>
        </is>
      </c>
      <c r="F55" s="17" t="inlineStr">
        <is>
          <t>System Flowchart Node 8</t>
        </is>
      </c>
      <c r="G55" s="16" t="inlineStr">
        <is>
          <t>Codex</t>
        </is>
      </c>
      <c r="H55" s="15" t="inlineStr">
        <is>
          <t>Done</t>
        </is>
      </c>
      <c r="I55" s="16" t="inlineStr">
        <is>
          <t>P0 - Critical</t>
        </is>
      </c>
      <c r="J55" s="17" t="inlineStr">
        <is>
          <t>test_inference_engine_and_latency_benchmark</t>
        </is>
      </c>
    </row>
    <row r="56" ht="22" customHeight="1">
      <c r="A56" s="13" t="inlineStr">
        <is>
          <t>TASK-EDGE-AI-02</t>
        </is>
      </c>
      <c r="B56" s="13" t="inlineStr">
        <is>
          <t>Phase 4B: Edge App</t>
        </is>
      </c>
      <c r="C56" s="14" t="inlineStr">
        <is>
          <t>Edge CV</t>
        </is>
      </c>
      <c r="D56" s="14" t="inlineStr">
        <is>
          <t>Geometric Aspect-Ratio &amp; Centering Gate</t>
        </is>
      </c>
      <c r="E56" s="14" t="inlineStr">
        <is>
          <t>Enforce 0.65 &lt;= Aspect Ratio &lt;= 1.45 to prevent classifying non-egg objects</t>
        </is>
      </c>
      <c r="F56" s="14" t="inlineStr">
        <is>
          <t>AGENTS.md Edge</t>
        </is>
      </c>
      <c r="G56" s="13" t="inlineStr">
        <is>
          <t>Codex</t>
        </is>
      </c>
      <c r="H56" s="15" t="inlineStr">
        <is>
          <t>Done</t>
        </is>
      </c>
      <c r="I56" s="13" t="inlineStr">
        <is>
          <t>P1 - High</t>
        </is>
      </c>
      <c r="J56" s="14" t="inlineStr">
        <is>
          <t>test_candling_heuristics_and_vascularization</t>
        </is>
      </c>
    </row>
    <row r="57" ht="22" customHeight="1">
      <c r="A57" s="16" t="inlineStr">
        <is>
          <t>TASK-EDGE-AI-03</t>
        </is>
      </c>
      <c r="B57" s="16" t="inlineStr">
        <is>
          <t>Phase 4B: Edge App</t>
        </is>
      </c>
      <c r="C57" s="17" t="inlineStr">
        <is>
          <t>Edge CV</t>
        </is>
      </c>
      <c r="D57" s="17" t="inlineStr">
        <is>
          <t>Model Cache Warmup Routine</t>
        </is>
      </c>
      <c r="E57" s="17" t="inlineStr">
        <is>
          <t>Execute 3 dummy passes on startup to eliminate first-frame latency spikes</t>
        </is>
      </c>
      <c r="F57" s="17" t="inlineStr">
        <is>
          <t>AGENTS.md Edge</t>
        </is>
      </c>
      <c r="G57" s="16" t="inlineStr">
        <is>
          <t>Codex</t>
        </is>
      </c>
      <c r="H57" s="15" t="inlineStr">
        <is>
          <t>Done</t>
        </is>
      </c>
      <c r="I57" s="16" t="inlineStr">
        <is>
          <t>P1 - High</t>
        </is>
      </c>
      <c r="J57" s="17" t="inlineStr">
        <is>
          <t>test_inference_engine_and_latency_benchmark</t>
        </is>
      </c>
    </row>
    <row r="58" ht="22" customHeight="1">
      <c r="A58" s="13" t="inlineStr">
        <is>
          <t>TASK-EDGE-HEU-01</t>
        </is>
      </c>
      <c r="B58" s="13" t="inlineStr">
        <is>
          <t>Phase 4B: Edge App</t>
        </is>
      </c>
      <c r="C58" s="14" t="inlineStr">
        <is>
          <t>Edge CV</t>
        </is>
      </c>
      <c r="D58" s="14" t="inlineStr">
        <is>
          <t>HSV Candling Luminance Analyzer</t>
        </is>
      </c>
      <c r="E58" s="14" t="inlineStr">
        <is>
          <t>Analyze internal light transmission across yolk/albumin regions</t>
        </is>
      </c>
      <c r="F58" s="14" t="inlineStr">
        <is>
          <t>System Flowchart Node 7</t>
        </is>
      </c>
      <c r="G58" s="13" t="inlineStr">
        <is>
          <t>Codex</t>
        </is>
      </c>
      <c r="H58" s="15" t="inlineStr">
        <is>
          <t>Done</t>
        </is>
      </c>
      <c r="I58" s="13" t="inlineStr">
        <is>
          <t>P1 - High</t>
        </is>
      </c>
      <c r="J58" s="14" t="inlineStr">
        <is>
          <t>test_candling_heuristics_and_vascularization</t>
        </is>
      </c>
    </row>
    <row r="59" ht="22" customHeight="1">
      <c r="A59" s="16" t="inlineStr">
        <is>
          <t>TASK-EDGE-HEU-02</t>
        </is>
      </c>
      <c r="B59" s="16" t="inlineStr">
        <is>
          <t>Phase 4B: Edge App</t>
        </is>
      </c>
      <c r="C59" s="17" t="inlineStr">
        <is>
          <t>Edge CV</t>
        </is>
      </c>
      <c r="D59" s="17" t="inlineStr">
        <is>
          <t>Vascular Vein &amp; Blood Ring Heuristics</t>
        </is>
      </c>
      <c r="E59" s="17" t="inlineStr">
        <is>
          <t>Auxiliary edge detector verifying spider blood veins vs necrotic ring</t>
        </is>
      </c>
      <c r="F59" s="17" t="inlineStr">
        <is>
          <t>System Flowchart Node 8</t>
        </is>
      </c>
      <c r="G59" s="16" t="inlineStr">
        <is>
          <t>Codex</t>
        </is>
      </c>
      <c r="H59" s="15" t="inlineStr">
        <is>
          <t>Done</t>
        </is>
      </c>
      <c r="I59" s="16" t="inlineStr">
        <is>
          <t>P1 - High</t>
        </is>
      </c>
      <c r="J59" s="17" t="inlineStr">
        <is>
          <t>test_candling_heuristics_and_vascularization</t>
        </is>
      </c>
    </row>
    <row r="60" ht="22" customHeight="1">
      <c r="A60" s="13" t="inlineStr">
        <is>
          <t>TASK-EDGE-DB-01</t>
        </is>
      </c>
      <c r="B60" s="13" t="inlineStr">
        <is>
          <t>Phase 4B: Edge App</t>
        </is>
      </c>
      <c r="C60" s="14" t="inlineStr">
        <is>
          <t>Edge CV</t>
        </is>
      </c>
      <c r="D60" s="14" t="inlineStr">
        <is>
          <t>Local SQLite WAL Mode Store</t>
        </is>
      </c>
      <c r="E60" s="14" t="inlineStr">
        <is>
          <t>Thread 4: Local scan persistence with PRAGMA journal_mode = WAL;</t>
        </is>
      </c>
      <c r="F60" s="14" t="inlineStr">
        <is>
          <t>AGENTS.md Edge</t>
        </is>
      </c>
      <c r="G60" s="13" t="inlineStr">
        <is>
          <t>Codex</t>
        </is>
      </c>
      <c r="H60" s="15" t="inlineStr">
        <is>
          <t>Done</t>
        </is>
      </c>
      <c r="I60" s="13" t="inlineStr">
        <is>
          <t>P0 - Critical</t>
        </is>
      </c>
      <c r="J60" s="14" t="inlineStr">
        <is>
          <t>test_local_sqlite_wal_and_queue_diagnostics</t>
        </is>
      </c>
    </row>
    <row r="61" ht="22" customHeight="1">
      <c r="A61" s="16" t="inlineStr">
        <is>
          <t>TASK-EDGE-DB-02</t>
        </is>
      </c>
      <c r="B61" s="16" t="inlineStr">
        <is>
          <t>Phase 4B: Edge App</t>
        </is>
      </c>
      <c r="C61" s="17" t="inlineStr">
        <is>
          <t>Edge CV</t>
        </is>
      </c>
      <c r="D61" s="17" t="inlineStr">
        <is>
          <t>Unsynced Scan FIFO Queue Manager</t>
        </is>
      </c>
      <c r="E61" s="17" t="inlineStr">
        <is>
          <t>Track unsynced scans and handle exponential backoff retry</t>
        </is>
      </c>
      <c r="F61" s="17" t="inlineStr">
        <is>
          <t>AGENTS.md Edge</t>
        </is>
      </c>
      <c r="G61" s="16" t="inlineStr">
        <is>
          <t>Codex</t>
        </is>
      </c>
      <c r="H61" s="15" t="inlineStr">
        <is>
          <t>Done</t>
        </is>
      </c>
      <c r="I61" s="16" t="inlineStr">
        <is>
          <t>P0 - Critical</t>
        </is>
      </c>
      <c r="J61" s="17" t="inlineStr">
        <is>
          <t>test_local_sqlite_wal_and_queue_diagnostics</t>
        </is>
      </c>
    </row>
    <row r="62" ht="22" customHeight="1">
      <c r="A62" s="13" t="inlineStr">
        <is>
          <t>TASK-EDGE-SYN-01</t>
        </is>
      </c>
      <c r="B62" s="13" t="inlineStr">
        <is>
          <t>Phase 4B: Edge App</t>
        </is>
      </c>
      <c r="C62" s="14" t="inlineStr">
        <is>
          <t>Edge CV</t>
        </is>
      </c>
      <c r="D62" s="14" t="inlineStr">
        <is>
          <t>Background REST HTTP Sync Worker</t>
        </is>
      </c>
      <c r="E62" s="14" t="inlineStr">
        <is>
          <t>Non-blocking background HTTP client transmitting batches of 50 scans</t>
        </is>
      </c>
      <c r="F62" s="14" t="inlineStr">
        <is>
          <t>System Flowchart Node 13</t>
        </is>
      </c>
      <c r="G62" s="13" t="inlineStr">
        <is>
          <t>Codex</t>
        </is>
      </c>
      <c r="H62" s="15" t="inlineStr">
        <is>
          <t>Done</t>
        </is>
      </c>
      <c r="I62" s="13" t="inlineStr">
        <is>
          <t>P0 - Critical</t>
        </is>
      </c>
      <c r="J62" s="14" t="inlineStr">
        <is>
          <t>test_sync_worker_diagnostics</t>
        </is>
      </c>
    </row>
    <row r="63" ht="22" customHeight="1">
      <c r="A63" s="16" t="inlineStr">
        <is>
          <t>TASK-EDGE-SYN-02</t>
        </is>
      </c>
      <c r="B63" s="16" t="inlineStr">
        <is>
          <t>Phase 4B: Edge App</t>
        </is>
      </c>
      <c r="C63" s="17" t="inlineStr">
        <is>
          <t>Edge CV</t>
        </is>
      </c>
      <c r="D63" s="17" t="inlineStr">
        <is>
          <t>Local CSV Session Exporter</t>
        </is>
      </c>
      <c r="E63" s="17" t="inlineStr">
        <is>
          <t>Emergency offline CSV exporter saving session records to local USB drive</t>
        </is>
      </c>
      <c r="F63" s="17" t="inlineStr">
        <is>
          <t>AGENTS.md Offline</t>
        </is>
      </c>
      <c r="G63" s="16" t="inlineStr">
        <is>
          <t>Codex</t>
        </is>
      </c>
      <c r="H63" s="15" t="inlineStr">
        <is>
          <t>Done</t>
        </is>
      </c>
      <c r="I63" s="16" t="inlineStr">
        <is>
          <t>P1 - High</t>
        </is>
      </c>
      <c r="J63" s="17" t="inlineStr">
        <is>
          <t>test_csv_session_export</t>
        </is>
      </c>
    </row>
    <row r="64" ht="22" customHeight="1">
      <c r="A64" s="13" t="inlineStr">
        <is>
          <t>TASK-EDGE-SER-01</t>
        </is>
      </c>
      <c r="B64" s="13" t="inlineStr">
        <is>
          <t>Phase 4B: Edge App</t>
        </is>
      </c>
      <c r="C64" s="14" t="inlineStr">
        <is>
          <t>Edge CV</t>
        </is>
      </c>
      <c r="D64" s="14" t="inlineStr">
        <is>
          <t>PySerial ESP32 UART Driver</t>
        </is>
      </c>
      <c r="E64" s="14" t="inlineStr">
        <is>
          <t>Thread 3: Non-blocking serial worker communicating at 115200 baud</t>
        </is>
      </c>
      <c r="F64" s="14" t="inlineStr">
        <is>
          <t>System Flowchart Node 17</t>
        </is>
      </c>
      <c r="G64" s="13" t="inlineStr">
        <is>
          <t>Codex</t>
        </is>
      </c>
      <c r="H64" s="15" t="inlineStr">
        <is>
          <t>Done</t>
        </is>
      </c>
      <c r="I64" s="13" t="inlineStr">
        <is>
          <t>P0 - Critical</t>
        </is>
      </c>
      <c r="J64" s="14" t="inlineStr">
        <is>
          <t>test_esp32_serial_mock_and_motor_commands</t>
        </is>
      </c>
    </row>
    <row r="65" ht="22" customHeight="1">
      <c r="A65" s="16" t="inlineStr">
        <is>
          <t>TASK-EDGE-SER-02</t>
        </is>
      </c>
      <c r="B65" s="16" t="inlineStr">
        <is>
          <t>Phase 4B: Edge App</t>
        </is>
      </c>
      <c r="C65" s="17" t="inlineStr">
        <is>
          <t>Edge CV</t>
        </is>
      </c>
      <c r="D65" s="17" t="inlineStr">
        <is>
          <t>Serial Mock Driver for Hardware-Free Dev</t>
        </is>
      </c>
      <c r="E65" s="17" t="inlineStr">
        <is>
          <t>Simulate ESP32 optical triggers and servo responses in unit tests</t>
        </is>
      </c>
      <c r="F65" s="17" t="inlineStr">
        <is>
          <t>AGENTS.md Firmware</t>
        </is>
      </c>
      <c r="G65" s="16" t="inlineStr">
        <is>
          <t>Codex</t>
        </is>
      </c>
      <c r="H65" s="15" t="inlineStr">
        <is>
          <t>Done</t>
        </is>
      </c>
      <c r="I65" s="16" t="inlineStr">
        <is>
          <t>P1 - High</t>
        </is>
      </c>
      <c r="J65" s="17" t="inlineStr">
        <is>
          <t>test_esp32_serial_mock_and_motor_commands</t>
        </is>
      </c>
    </row>
    <row r="66" ht="22" customHeight="1">
      <c r="A66" s="13" t="inlineStr">
        <is>
          <t>TASK-EDGE-TRK-01</t>
        </is>
      </c>
      <c r="B66" s="13" t="inlineStr">
        <is>
          <t>Phase 4B: Edge App</t>
        </is>
      </c>
      <c r="C66" s="14" t="inlineStr">
        <is>
          <t>Edge CV</t>
        </is>
      </c>
      <c r="D66" s="14" t="inlineStr">
        <is>
          <t>Cradle Tracking FIFO Queue</t>
        </is>
      </c>
      <c r="E66" s="14" t="inlineStr">
        <is>
          <t>Maintain cradle queue mapping cradle_id from image station to sorting gate</t>
        </is>
      </c>
      <c r="F66" s="14" t="inlineStr">
        <is>
          <t>System Flowchart Node 5,11</t>
        </is>
      </c>
      <c r="G66" s="13" t="inlineStr">
        <is>
          <t>Codex</t>
        </is>
      </c>
      <c r="H66" s="18" t="inlineStr">
        <is>
          <t>Backlog</t>
        </is>
      </c>
      <c r="I66" s="13" t="inlineStr">
        <is>
          <t>P0 - Critical</t>
        </is>
      </c>
      <c r="J66" s="14" t="inlineStr">
        <is>
          <t>test_cradle_tracking_queue.py</t>
        </is>
      </c>
    </row>
    <row r="67" ht="22" customHeight="1">
      <c r="A67" s="16" t="inlineStr">
        <is>
          <t>TASK-EDGE-TRK-02</t>
        </is>
      </c>
      <c r="B67" s="16" t="inlineStr">
        <is>
          <t>Phase 4B: Edge App</t>
        </is>
      </c>
      <c r="C67" s="17" t="inlineStr">
        <is>
          <t>Edge CV</t>
        </is>
      </c>
      <c r="D67" s="17" t="inlineStr">
        <is>
          <t>Conveyor Index Resynchronization Handler</t>
        </is>
      </c>
      <c r="E67" s="17" t="inlineStr">
        <is>
          <t>Pause conveyor and alert operator if physical cradle index drifts</t>
        </is>
      </c>
      <c r="F67" s="17" t="inlineStr">
        <is>
          <t>System Flowchart Node 15,16</t>
        </is>
      </c>
      <c r="G67" s="16" t="inlineStr">
        <is>
          <t>Codex</t>
        </is>
      </c>
      <c r="H67" s="18" t="inlineStr">
        <is>
          <t>Backlog</t>
        </is>
      </c>
      <c r="I67" s="16" t="inlineStr">
        <is>
          <t>P1 - High</t>
        </is>
      </c>
      <c r="J67" s="17" t="inlineStr">
        <is>
          <t>test_cradle_resync_handler.py</t>
        </is>
      </c>
    </row>
    <row r="68" ht="22" customHeight="1">
      <c r="A68" s="13" t="inlineStr">
        <is>
          <t>TASK-EDGE-REV-01</t>
        </is>
      </c>
      <c r="B68" s="13" t="inlineStr">
        <is>
          <t>Phase 4B: Edge App</t>
        </is>
      </c>
      <c r="C68" s="14" t="inlineStr">
        <is>
          <t>Edge CV</t>
        </is>
      </c>
      <c r="D68" s="14" t="inlineStr">
        <is>
          <t>Manual Review Fallback State Machine</t>
        </is>
      </c>
      <c r="E68" s="14" t="inlineStr">
        <is>
          <t>Trigger manual review flag when confidence &lt; 0.75 or egg uncentered</t>
        </is>
      </c>
      <c r="F68" s="14" t="inlineStr">
        <is>
          <t>System Flowchart Node 9,10</t>
        </is>
      </c>
      <c r="G68" s="13" t="inlineStr">
        <is>
          <t>Codex</t>
        </is>
      </c>
      <c r="H68" s="18" t="inlineStr">
        <is>
          <t>Backlog</t>
        </is>
      </c>
      <c r="I68" s="13" t="inlineStr">
        <is>
          <t>P0 - Critical</t>
        </is>
      </c>
      <c r="J68" s="14" t="inlineStr">
        <is>
          <t>test_manual_review_fallback.py</t>
        </is>
      </c>
    </row>
    <row r="69" ht="22" customHeight="1">
      <c r="A69" s="16" t="inlineStr">
        <is>
          <t>TASK-EDGE-UI-01</t>
        </is>
      </c>
      <c r="B69" s="16" t="inlineStr">
        <is>
          <t>Phase 4B: Edge App</t>
        </is>
      </c>
      <c r="C69" s="17" t="inlineStr">
        <is>
          <t>Edge CV</t>
        </is>
      </c>
      <c r="D69" s="17" t="inlineStr">
        <is>
          <t>CustomTkinter 60 FPS Operator Desktop UI</t>
        </is>
      </c>
      <c r="E69" s="17" t="inlineStr">
        <is>
          <t>Main Thread: CustomTkinter operator GUI with Foundation University theme</t>
        </is>
      </c>
      <c r="F69" s="17" t="inlineStr">
        <is>
          <t>Use Case: Worker</t>
        </is>
      </c>
      <c r="G69" s="16" t="inlineStr">
        <is>
          <t>Codex</t>
        </is>
      </c>
      <c r="H69" s="15" t="inlineStr">
        <is>
          <t>Done</t>
        </is>
      </c>
      <c r="I69" s="16" t="inlineStr">
        <is>
          <t>P0 - Critical</t>
        </is>
      </c>
      <c r="J69" s="17" t="inlineStr">
        <is>
          <t>Desktop UI smoke launch</t>
        </is>
      </c>
    </row>
    <row r="70" ht="22" customHeight="1">
      <c r="A70" s="13" t="inlineStr">
        <is>
          <t>TASK-EDGE-UI-02</t>
        </is>
      </c>
      <c r="B70" s="13" t="inlineStr">
        <is>
          <t>Phase 4B: Edge App</t>
        </is>
      </c>
      <c r="C70" s="14" t="inlineStr">
        <is>
          <t>Edge CV</t>
        </is>
      </c>
      <c r="D70" s="14" t="inlineStr">
        <is>
          <t>Live Candling Video Viewport</t>
        </is>
      </c>
      <c r="E70" s="14" t="inlineStr">
        <is>
          <t>Smooth video rendering canvas with overlay bounding box and class tag</t>
        </is>
      </c>
      <c r="F70" s="14" t="inlineStr">
        <is>
          <t>Use Case: Worker</t>
        </is>
      </c>
      <c r="G70" s="13" t="inlineStr">
        <is>
          <t>Codex</t>
        </is>
      </c>
      <c r="H70" s="15" t="inlineStr">
        <is>
          <t>Done</t>
        </is>
      </c>
      <c r="I70" s="13" t="inlineStr">
        <is>
          <t>P0 - Critical</t>
        </is>
      </c>
      <c r="J70" s="14" t="inlineStr">
        <is>
          <t>Desktop UI verification</t>
        </is>
      </c>
    </row>
    <row r="71" ht="22" customHeight="1">
      <c r="A71" s="16" t="inlineStr">
        <is>
          <t>TASK-EDGE-UI-03</t>
        </is>
      </c>
      <c r="B71" s="16" t="inlineStr">
        <is>
          <t>Phase 4B: Edge App</t>
        </is>
      </c>
      <c r="C71" s="17" t="inlineStr">
        <is>
          <t>Edge CV</t>
        </is>
      </c>
      <c r="D71" s="17" t="inlineStr">
        <is>
          <t>Real-Time Session Statistics Counters</t>
        </is>
      </c>
      <c r="E71" s="17" t="inlineStr">
        <is>
          <t>Live counters for Fertile, Infertile, and Manual Review</t>
        </is>
      </c>
      <c r="F71" s="17" t="inlineStr">
        <is>
          <t>Use Case: Worker</t>
        </is>
      </c>
      <c r="G71" s="16" t="inlineStr">
        <is>
          <t>Codex</t>
        </is>
      </c>
      <c r="H71" s="15" t="inlineStr">
        <is>
          <t>Done</t>
        </is>
      </c>
      <c r="I71" s="16" t="inlineStr">
        <is>
          <t>P1 - High</t>
        </is>
      </c>
      <c r="J71" s="17" t="inlineStr">
        <is>
          <t>Desktop UI verification</t>
        </is>
      </c>
    </row>
    <row r="72" ht="22" customHeight="1">
      <c r="A72" s="13" t="inlineStr">
        <is>
          <t>TASK-EDGE-UI-04</t>
        </is>
      </c>
      <c r="B72" s="13" t="inlineStr">
        <is>
          <t>Phase 4B: Edge App</t>
        </is>
      </c>
      <c r="C72" s="14" t="inlineStr">
        <is>
          <t>Edge CV</t>
        </is>
      </c>
      <c r="D72" s="14" t="inlineStr">
        <is>
          <t>Interactive Manual Override Dialog Modal</t>
        </is>
      </c>
      <c r="E72" s="14" t="inlineStr">
        <is>
          <t>Modal popup enabling operator to inspect flagged egg and confirm class</t>
        </is>
      </c>
      <c r="F72" s="14" t="inlineStr">
        <is>
          <t>System Flowchart Node 10</t>
        </is>
      </c>
      <c r="G72" s="13" t="inlineStr">
        <is>
          <t>Codex</t>
        </is>
      </c>
      <c r="H72" s="18" t="inlineStr">
        <is>
          <t>Backlog</t>
        </is>
      </c>
      <c r="I72" s="13" t="inlineStr">
        <is>
          <t>P0 - Critical</t>
        </is>
      </c>
      <c r="J72" s="14" t="inlineStr">
        <is>
          <t>Desktop UI modal test</t>
        </is>
      </c>
    </row>
    <row r="73" ht="22" customHeight="1">
      <c r="A73" s="16" t="inlineStr">
        <is>
          <t>TASK-EDGE-UI-05</t>
        </is>
      </c>
      <c r="B73" s="16" t="inlineStr">
        <is>
          <t>Phase 4B: Edge App</t>
        </is>
      </c>
      <c r="C73" s="17" t="inlineStr">
        <is>
          <t>Edge CV</t>
        </is>
      </c>
      <c r="D73" s="17" t="inlineStr">
        <is>
          <t>Conveyor Pause &amp; Emergency Stop Controls</t>
        </is>
      </c>
      <c r="E73" s="17" t="inlineStr">
        <is>
          <t>Instant physical rig pause and serial E-STOP command dispatch</t>
        </is>
      </c>
      <c r="F73" s="17" t="inlineStr">
        <is>
          <t>System Flowchart Node 16</t>
        </is>
      </c>
      <c r="G73" s="16" t="inlineStr">
        <is>
          <t>Codex</t>
        </is>
      </c>
      <c r="H73" s="15" t="inlineStr">
        <is>
          <t>Done</t>
        </is>
      </c>
      <c r="I73" s="16" t="inlineStr">
        <is>
          <t>P1 - High</t>
        </is>
      </c>
      <c r="J73" s="17" t="inlineStr">
        <is>
          <t>Desktop UI verification</t>
        </is>
      </c>
    </row>
    <row r="74" ht="22" customHeight="1">
      <c r="A74" s="13" t="inlineStr">
        <is>
          <t>TASK-DASH-PG-01</t>
        </is>
      </c>
      <c r="B74" s="13" t="inlineStr">
        <is>
          <t>Phase 4D: Dashboard</t>
        </is>
      </c>
      <c r="C74" s="14" t="inlineStr">
        <is>
          <t>Dashboard</t>
        </is>
      </c>
      <c r="D74" s="14" t="inlineStr">
        <is>
          <t>LoginPage.tsx with JWT Auth</t>
        </is>
      </c>
      <c r="E74" s="14" t="inlineStr">
        <is>
          <t>Login view with Foundation University maroon branding and token persistence</t>
        </is>
      </c>
      <c r="F74" s="14" t="inlineStr">
        <is>
          <t>Use Case: Worker</t>
        </is>
      </c>
      <c r="G74" s="13" t="inlineStr">
        <is>
          <t>Codex</t>
        </is>
      </c>
      <c r="H74" s="15" t="inlineStr">
        <is>
          <t>Done</t>
        </is>
      </c>
      <c r="I74" s="13" t="inlineStr">
        <is>
          <t>P0 - Critical</t>
        </is>
      </c>
      <c r="J74" s="14" t="inlineStr">
        <is>
          <t>npm.cmd run build</t>
        </is>
      </c>
    </row>
    <row r="75" ht="22" customHeight="1">
      <c r="A75" s="16" t="inlineStr">
        <is>
          <t>TASK-DASH-PG-02</t>
        </is>
      </c>
      <c r="B75" s="16" t="inlineStr">
        <is>
          <t>Phase 4D: Dashboard</t>
        </is>
      </c>
      <c r="C75" s="17" t="inlineStr">
        <is>
          <t>Dashboard</t>
        </is>
      </c>
      <c r="D75" s="17" t="inlineStr">
        <is>
          <t>OverviewPage.tsx Real-Time KPI Cards</t>
        </is>
      </c>
      <c r="E75" s="17" t="inlineStr">
        <is>
          <t>High-level summary of active batches, fertility %, and today's sorting volume</t>
        </is>
      </c>
      <c r="F75" s="17" t="inlineStr">
        <is>
          <t>Use Case: Supervisor</t>
        </is>
      </c>
      <c r="G75" s="16" t="inlineStr">
        <is>
          <t>Codex</t>
        </is>
      </c>
      <c r="H75" s="15" t="inlineStr">
        <is>
          <t>Done</t>
        </is>
      </c>
      <c r="I75" s="16" t="inlineStr">
        <is>
          <t>P0 - Critical</t>
        </is>
      </c>
      <c r="J75" s="17" t="inlineStr">
        <is>
          <t>npm.cmd run build</t>
        </is>
      </c>
    </row>
    <row r="76" ht="22" customHeight="1">
      <c r="A76" s="13" t="inlineStr">
        <is>
          <t>TASK-DASH-PG-03</t>
        </is>
      </c>
      <c r="B76" s="13" t="inlineStr">
        <is>
          <t>Phase 4D: Dashboard</t>
        </is>
      </c>
      <c r="C76" s="14" t="inlineStr">
        <is>
          <t>Dashboard</t>
        </is>
      </c>
      <c r="D76" s="14" t="inlineStr">
        <is>
          <t>BatchesPage.tsx Lifecycle Management</t>
        </is>
      </c>
      <c r="E76" s="14" t="inlineStr">
        <is>
          <t>Table of all batches, Day 10 stage advancement, and hatch closure</t>
        </is>
      </c>
      <c r="F76" s="14" t="inlineStr">
        <is>
          <t>Use Case: Supervisor</t>
        </is>
      </c>
      <c r="G76" s="13" t="inlineStr">
        <is>
          <t>Codex</t>
        </is>
      </c>
      <c r="H76" s="15" t="inlineStr">
        <is>
          <t>Done</t>
        </is>
      </c>
      <c r="I76" s="13" t="inlineStr">
        <is>
          <t>P0 - Critical</t>
        </is>
      </c>
      <c r="J76" s="14" t="inlineStr">
        <is>
          <t>npm.cmd run build</t>
        </is>
      </c>
    </row>
    <row r="77" ht="22" customHeight="1">
      <c r="A77" s="16" t="inlineStr">
        <is>
          <t>TASK-DASH-PG-04</t>
        </is>
      </c>
      <c r="B77" s="16" t="inlineStr">
        <is>
          <t>Phase 4D: Dashboard</t>
        </is>
      </c>
      <c r="C77" s="17" t="inlineStr">
        <is>
          <t>Dashboard</t>
        </is>
      </c>
      <c r="D77" s="17" t="inlineStr">
        <is>
          <t>ScanExplorerPage.tsx Visual Search</t>
        </is>
      </c>
      <c r="E77" s="17" t="inlineStr">
        <is>
          <t>Filterable grid of historical scan captures with image lightbox inspection</t>
        </is>
      </c>
      <c r="F77" s="17" t="inlineStr">
        <is>
          <t>Use Case: Supervisor</t>
        </is>
      </c>
      <c r="G77" s="16" t="inlineStr">
        <is>
          <t>Codex</t>
        </is>
      </c>
      <c r="H77" s="15" t="inlineStr">
        <is>
          <t>Done</t>
        </is>
      </c>
      <c r="I77" s="16" t="inlineStr">
        <is>
          <t>P1 - High</t>
        </is>
      </c>
      <c r="J77" s="17" t="inlineStr">
        <is>
          <t>npm.cmd run build</t>
        </is>
      </c>
    </row>
    <row r="78" ht="22" customHeight="1">
      <c r="A78" s="13" t="inlineStr">
        <is>
          <t>TASK-DASH-PG-05</t>
        </is>
      </c>
      <c r="B78" s="13" t="inlineStr">
        <is>
          <t>Phase 4D: Dashboard</t>
        </is>
      </c>
      <c r="C78" s="14" t="inlineStr">
        <is>
          <t>Dashboard</t>
        </is>
      </c>
      <c r="D78" s="14" t="inlineStr">
        <is>
          <t>AnalyticsPage.tsx Multi-Chart Suite</t>
        </is>
      </c>
      <c r="E78" s="14" t="inlineStr">
        <is>
          <t>Recharts visualizer for mortality curves, breed comparisons, and Penoy revenue</t>
        </is>
      </c>
      <c r="F78" s="14" t="inlineStr">
        <is>
          <t>Use Case: Supervisor</t>
        </is>
      </c>
      <c r="G78" s="13" t="inlineStr">
        <is>
          <t>Codex</t>
        </is>
      </c>
      <c r="H78" s="15" t="inlineStr">
        <is>
          <t>Done</t>
        </is>
      </c>
      <c r="I78" s="13" t="inlineStr">
        <is>
          <t>P0 - Critical</t>
        </is>
      </c>
      <c r="J78" s="14" t="inlineStr">
        <is>
          <t>npm.cmd run build</t>
        </is>
      </c>
    </row>
    <row r="79" ht="22" customHeight="1">
      <c r="A79" s="16" t="inlineStr">
        <is>
          <t>TASK-DASH-PG-06</t>
        </is>
      </c>
      <c r="B79" s="16" t="inlineStr">
        <is>
          <t>Phase 4D: Dashboard</t>
        </is>
      </c>
      <c r="C79" s="17" t="inlineStr">
        <is>
          <t>Dashboard</t>
        </is>
      </c>
      <c r="D79" s="17" t="inlineStr">
        <is>
          <t>RecordsPage.tsx Audit Archive</t>
        </is>
      </c>
      <c r="E79" s="17" t="inlineStr">
        <is>
          <t>Historical scan and session records table with one-click CSV/PDF download</t>
        </is>
      </c>
      <c r="F79" s="17" t="inlineStr">
        <is>
          <t>Use Case: Supervisor</t>
        </is>
      </c>
      <c r="G79" s="16" t="inlineStr">
        <is>
          <t>Codex</t>
        </is>
      </c>
      <c r="H79" s="15" t="inlineStr">
        <is>
          <t>Done</t>
        </is>
      </c>
      <c r="I79" s="16" t="inlineStr">
        <is>
          <t>P1 - High</t>
        </is>
      </c>
      <c r="J79" s="17" t="inlineStr">
        <is>
          <t>npm.cmd run build</t>
        </is>
      </c>
    </row>
    <row r="80" ht="22" customHeight="1">
      <c r="A80" s="13" t="inlineStr">
        <is>
          <t>TASK-DASH-PG-07</t>
        </is>
      </c>
      <c r="B80" s="13" t="inlineStr">
        <is>
          <t>Phase 4D: Dashboard</t>
        </is>
      </c>
      <c r="C80" s="14" t="inlineStr">
        <is>
          <t>Dashboard</t>
        </is>
      </c>
      <c r="D80" s="14" t="inlineStr">
        <is>
          <t>DevicesPage.tsx Hardware Monitor</t>
        </is>
      </c>
      <c r="E80" s="14" t="inlineStr">
        <is>
          <t>Live cards showing connected Raspberry Pi and ESP32 sorter rigs</t>
        </is>
      </c>
      <c r="F80" s="14" t="inlineStr">
        <is>
          <t>Use Case: Admin</t>
        </is>
      </c>
      <c r="G80" s="13" t="inlineStr">
        <is>
          <t>Codex</t>
        </is>
      </c>
      <c r="H80" s="15" t="inlineStr">
        <is>
          <t>Done</t>
        </is>
      </c>
      <c r="I80" s="13" t="inlineStr">
        <is>
          <t>P1 - High</t>
        </is>
      </c>
      <c r="J80" s="14" t="inlineStr">
        <is>
          <t>npm.cmd run build</t>
        </is>
      </c>
    </row>
    <row r="81" ht="22" customHeight="1">
      <c r="A81" s="16" t="inlineStr">
        <is>
          <t>TASK-DASH-PG-08</t>
        </is>
      </c>
      <c r="B81" s="16" t="inlineStr">
        <is>
          <t>Phase 4D: Dashboard</t>
        </is>
      </c>
      <c r="C81" s="17" t="inlineStr">
        <is>
          <t>Dashboard</t>
        </is>
      </c>
      <c r="D81" s="17" t="inlineStr">
        <is>
          <t>ModelsPage.tsx MLOps Registry</t>
        </is>
      </c>
      <c r="E81" s="17" t="inlineStr">
        <is>
          <t>View deployed YOLOv8 ONNX model version, latency benchmarks, thresholds</t>
        </is>
      </c>
      <c r="F81" s="17" t="inlineStr">
        <is>
          <t>Use Case: Admin</t>
        </is>
      </c>
      <c r="G81" s="16" t="inlineStr">
        <is>
          <t>Codex</t>
        </is>
      </c>
      <c r="H81" s="15" t="inlineStr">
        <is>
          <t>Done</t>
        </is>
      </c>
      <c r="I81" s="16" t="inlineStr">
        <is>
          <t>P1 - High</t>
        </is>
      </c>
      <c r="J81" s="17" t="inlineStr">
        <is>
          <t>npm.cmd run build</t>
        </is>
      </c>
    </row>
    <row r="82" ht="22" customHeight="1">
      <c r="A82" s="13" t="inlineStr">
        <is>
          <t>TASK-DASH-PG-09</t>
        </is>
      </c>
      <c r="B82" s="13" t="inlineStr">
        <is>
          <t>Phase 4D: Dashboard</t>
        </is>
      </c>
      <c r="C82" s="14" t="inlineStr">
        <is>
          <t>Dashboard</t>
        </is>
      </c>
      <c r="D82" s="14" t="inlineStr">
        <is>
          <t>UsersPage.tsx User Administration</t>
        </is>
      </c>
      <c r="E82" s="14" t="inlineStr">
        <is>
          <t>Admin table for managing operator, supervisor, and administrator accounts</t>
        </is>
      </c>
      <c r="F82" s="14" t="inlineStr">
        <is>
          <t>Use Case: Admin</t>
        </is>
      </c>
      <c r="G82" s="13" t="inlineStr">
        <is>
          <t>Codex</t>
        </is>
      </c>
      <c r="H82" s="15" t="inlineStr">
        <is>
          <t>Done</t>
        </is>
      </c>
      <c r="I82" s="13" t="inlineStr">
        <is>
          <t>P0 - Critical</t>
        </is>
      </c>
      <c r="J82" s="14" t="inlineStr">
        <is>
          <t>npm.cmd run build</t>
        </is>
      </c>
    </row>
    <row r="83" ht="22" customHeight="1">
      <c r="A83" s="16" t="inlineStr">
        <is>
          <t>TASK-DASH-PG-10</t>
        </is>
      </c>
      <c r="B83" s="16" t="inlineStr">
        <is>
          <t>Phase 4D: Dashboard</t>
        </is>
      </c>
      <c r="C83" s="17" t="inlineStr">
        <is>
          <t>Dashboard</t>
        </is>
      </c>
      <c r="D83" s="17" t="inlineStr">
        <is>
          <t>AuditLogsPage.tsx Security Trail</t>
        </is>
      </c>
      <c r="E83" s="17" t="inlineStr">
        <is>
          <t>Chronological table of all system events, login attempts, and overrides</t>
        </is>
      </c>
      <c r="F83" s="17" t="inlineStr">
        <is>
          <t>Use Case: Admin</t>
        </is>
      </c>
      <c r="G83" s="16" t="inlineStr">
        <is>
          <t>Codex</t>
        </is>
      </c>
      <c r="H83" s="15" t="inlineStr">
        <is>
          <t>Done</t>
        </is>
      </c>
      <c r="I83" s="16" t="inlineStr">
        <is>
          <t>P0 - Critical</t>
        </is>
      </c>
      <c r="J83" s="17" t="inlineStr">
        <is>
          <t>npm.cmd run build</t>
        </is>
      </c>
    </row>
    <row r="84" ht="22" customHeight="1">
      <c r="A84" s="13" t="inlineStr">
        <is>
          <t>TASK-DASH-PG-11</t>
        </is>
      </c>
      <c r="B84" s="13" t="inlineStr">
        <is>
          <t>Phase 4D: Dashboard</t>
        </is>
      </c>
      <c r="C84" s="14" t="inlineStr">
        <is>
          <t>Dashboard</t>
        </is>
      </c>
      <c r="D84" s="14" t="inlineStr">
        <is>
          <t>SettingsPage.tsx System Configuration</t>
        </is>
      </c>
      <c r="E84" s="14" t="inlineStr">
        <is>
          <t>Configure Penoy price (P14), confidence thresholds, and DB backup downloads</t>
        </is>
      </c>
      <c r="F84" s="14" t="inlineStr">
        <is>
          <t>Use Case: Admin</t>
        </is>
      </c>
      <c r="G84" s="13" t="inlineStr">
        <is>
          <t>Codex</t>
        </is>
      </c>
      <c r="H84" s="15" t="inlineStr">
        <is>
          <t>Done</t>
        </is>
      </c>
      <c r="I84" s="13" t="inlineStr">
        <is>
          <t>P1 - High</t>
        </is>
      </c>
      <c r="J84" s="14" t="inlineStr">
        <is>
          <t>npm.cmd run build</t>
        </is>
      </c>
    </row>
    <row r="85" ht="22" customHeight="1">
      <c r="A85" s="16" t="inlineStr">
        <is>
          <t>TASK-DASH-CP-01</t>
        </is>
      </c>
      <c r="B85" s="16" t="inlineStr">
        <is>
          <t>Phase 4D: Dashboard</t>
        </is>
      </c>
      <c r="C85" s="17" t="inlineStr">
        <is>
          <t>Dashboard</t>
        </is>
      </c>
      <c r="D85" s="17" t="inlineStr">
        <is>
          <t>Incubation Tray Matrix (42 Slots A1-F7)</t>
        </is>
      </c>
      <c r="E85" s="17" t="inlineStr">
        <is>
          <t>Interactive SVG grid showing physical incubator tray slot occupancy and status</t>
        </is>
      </c>
      <c r="F85" s="17" t="inlineStr">
        <is>
          <t>Use Case: Supervisor</t>
        </is>
      </c>
      <c r="G85" s="16" t="inlineStr">
        <is>
          <t>Codex</t>
        </is>
      </c>
      <c r="H85" s="15" t="inlineStr">
        <is>
          <t>Done</t>
        </is>
      </c>
      <c r="I85" s="16" t="inlineStr">
        <is>
          <t>P0 - Critical</t>
        </is>
      </c>
      <c r="J85" s="17" t="inlineStr">
        <is>
          <t>npm.cmd run build</t>
        </is>
      </c>
    </row>
    <row r="86" ht="22" customHeight="1">
      <c r="A86" s="13" t="inlineStr">
        <is>
          <t>TASK-DASH-CP-02</t>
        </is>
      </c>
      <c r="B86" s="13" t="inlineStr">
        <is>
          <t>Phase 4D: Dashboard</t>
        </is>
      </c>
      <c r="C86" s="14" t="inlineStr">
        <is>
          <t>Dashboard</t>
        </is>
      </c>
      <c r="D86" s="14" t="inlineStr">
        <is>
          <t>Interactive Penoy Economic Calculator</t>
        </is>
      </c>
      <c r="E86" s="14" t="inlineStr">
        <is>
          <t>Widget computing Day 10 salvage income based on P14.00/egg price</t>
        </is>
      </c>
      <c r="F86" s="14" t="inlineStr">
        <is>
          <t>AGENTS.md Tenet 3</t>
        </is>
      </c>
      <c r="G86" s="13" t="inlineStr">
        <is>
          <t>Codex</t>
        </is>
      </c>
      <c r="H86" s="15" t="inlineStr">
        <is>
          <t>Done</t>
        </is>
      </c>
      <c r="I86" s="13" t="inlineStr">
        <is>
          <t>P1 - High</t>
        </is>
      </c>
      <c r="J86" s="14" t="inlineStr">
        <is>
          <t>npm.cmd run build</t>
        </is>
      </c>
    </row>
    <row r="87" ht="22" customHeight="1">
      <c r="A87" s="16" t="inlineStr">
        <is>
          <t>TASK-DASH-CP-03</t>
        </is>
      </c>
      <c r="B87" s="16" t="inlineStr">
        <is>
          <t>Phase 4D: Dashboard</t>
        </is>
      </c>
      <c r="C87" s="17" t="inlineStr">
        <is>
          <t>Dashboard</t>
        </is>
      </c>
      <c r="D87" s="17" t="inlineStr">
        <is>
          <t>Breed Filter: IP-Itim, Khaki, Kayumanggi</t>
        </is>
      </c>
      <c r="E87" s="17" t="inlineStr">
        <is>
          <t>Dropdown to isolate metrics by pure line vs commercial hybrid</t>
        </is>
      </c>
      <c r="F87" s="17" t="inlineStr">
        <is>
          <t>Methodology 3.1</t>
        </is>
      </c>
      <c r="G87" s="16" t="inlineStr">
        <is>
          <t>Codex</t>
        </is>
      </c>
      <c r="H87" s="15" t="inlineStr">
        <is>
          <t>Done</t>
        </is>
      </c>
      <c r="I87" s="16" t="inlineStr">
        <is>
          <t>P1 - High</t>
        </is>
      </c>
      <c r="J87" s="17" t="inlineStr">
        <is>
          <t>npm.cmd run build</t>
        </is>
      </c>
    </row>
    <row r="88" ht="22" customHeight="1">
      <c r="A88" s="13" t="inlineStr">
        <is>
          <t>TASK-DASH-CP-04</t>
        </is>
      </c>
      <c r="B88" s="13" t="inlineStr">
        <is>
          <t>Phase 4D: Dashboard</t>
        </is>
      </c>
      <c r="C88" s="14" t="inlineStr">
        <is>
          <t>Dashboard</t>
        </is>
      </c>
      <c r="D88" s="14" t="inlineStr">
        <is>
          <t>Day 10 Filter</t>
        </is>
      </c>
      <c r="E88" s="14" t="inlineStr">
        <is>
          <t>Filter analytics for the single Day 10 checkpoint</t>
        </is>
      </c>
      <c r="F88" s="14" t="inlineStr">
        <is>
          <t>Methodology 3.1</t>
        </is>
      </c>
      <c r="G88" s="13" t="inlineStr">
        <is>
          <t>Codex</t>
        </is>
      </c>
      <c r="H88" s="15" t="inlineStr">
        <is>
          <t>Done</t>
        </is>
      </c>
      <c r="I88" s="13" t="inlineStr">
        <is>
          <t>P1 - High</t>
        </is>
      </c>
      <c r="J88" s="14" t="inlineStr">
        <is>
          <t>npm.cmd run build</t>
        </is>
      </c>
    </row>
    <row r="89" ht="22" customHeight="1">
      <c r="A89" s="16" t="inlineStr">
        <is>
          <t>TASK-DASH-CP-05</t>
        </is>
      </c>
      <c r="B89" s="16" t="inlineStr">
        <is>
          <t>Phase 4D: Dashboard</t>
        </is>
      </c>
      <c r="C89" s="17" t="inlineStr">
        <is>
          <t>Dashboard</t>
        </is>
      </c>
      <c r="D89" s="17" t="inlineStr">
        <is>
          <t>Dark / Light Mode Theme System</t>
        </is>
      </c>
      <c r="E89" s="17" t="inlineStr">
        <is>
          <t>TailwindCSS theme switcher with FU Maroon (#800000) accents</t>
        </is>
      </c>
      <c r="F89" s="17" t="inlineStr">
        <is>
          <t>AGENTS.md FU Brand</t>
        </is>
      </c>
      <c r="G89" s="16" t="inlineStr">
        <is>
          <t>Codex</t>
        </is>
      </c>
      <c r="H89" s="15" t="inlineStr">
        <is>
          <t>Done</t>
        </is>
      </c>
      <c r="I89" s="16" t="inlineStr">
        <is>
          <t>P2 - Medium</t>
        </is>
      </c>
      <c r="J89" s="17" t="inlineStr">
        <is>
          <t>npm.cmd run build</t>
        </is>
      </c>
    </row>
    <row r="90" ht="22" customHeight="1">
      <c r="A90" s="13" t="inlineStr">
        <is>
          <t>TASK-FW-INT-01</t>
        </is>
      </c>
      <c r="B90" s="13" t="inlineStr">
        <is>
          <t>Phase 4A: Firmware</t>
        </is>
      </c>
      <c r="C90" s="14" t="inlineStr">
        <is>
          <t>Firmware</t>
        </is>
      </c>
      <c r="D90" s="14" t="inlineStr">
        <is>
          <t>Optical Sensor Hardware Interrupt</t>
        </is>
      </c>
      <c r="E90" s="14" t="inlineStr">
        <is>
          <t>ESP32 GPIO 14 optical beam-break edge detection interrupt</t>
        </is>
      </c>
      <c r="F90" s="14" t="inlineStr">
        <is>
          <t>System Flowchart</t>
        </is>
      </c>
      <c r="G90" s="13" t="inlineStr">
        <is>
          <t>Codex</t>
        </is>
      </c>
      <c r="H90" s="15" t="inlineStr">
        <is>
          <t>Done</t>
        </is>
      </c>
      <c r="I90" s="13" t="inlineStr">
        <is>
          <t>P0 - Critical</t>
        </is>
      </c>
      <c r="J90" s="14" t="inlineStr">
        <is>
          <t>esp32_actuator.ino review</t>
        </is>
      </c>
    </row>
    <row r="91" ht="22" customHeight="1">
      <c r="A91" s="16" t="inlineStr">
        <is>
          <t>TASK-FW-INT-02</t>
        </is>
      </c>
      <c r="B91" s="16" t="inlineStr">
        <is>
          <t>Phase 4A: Firmware</t>
        </is>
      </c>
      <c r="C91" s="17" t="inlineStr">
        <is>
          <t>Firmware</t>
        </is>
      </c>
      <c r="D91" s="17" t="inlineStr">
        <is>
          <t>600ms Hardware Optical Debounce Lockout</t>
        </is>
      </c>
      <c r="E91" s="17" t="inlineStr">
        <is>
          <t>Non-blocking timer lockout preventing false double-triggers on single egg</t>
        </is>
      </c>
      <c r="F91" s="17" t="inlineStr">
        <is>
          <t>AGENTS.md Firmware</t>
        </is>
      </c>
      <c r="G91" s="16" t="inlineStr">
        <is>
          <t>Codex</t>
        </is>
      </c>
      <c r="H91" s="15" t="inlineStr">
        <is>
          <t>Done</t>
        </is>
      </c>
      <c r="I91" s="16" t="inlineStr">
        <is>
          <t>P0 - Critical</t>
        </is>
      </c>
      <c r="J91" s="17" t="inlineStr">
        <is>
          <t>esp32_actuator.ino review</t>
        </is>
      </c>
    </row>
    <row r="92" ht="22" customHeight="1">
      <c r="A92" s="13" t="inlineStr">
        <is>
          <t>TASK-FW-LED-01</t>
        </is>
      </c>
      <c r="B92" s="13" t="inlineStr">
        <is>
          <t>Phase 4A: Firmware</t>
        </is>
      </c>
      <c r="C92" s="14" t="inlineStr">
        <is>
          <t>Firmware</t>
        </is>
      </c>
      <c r="D92" s="14" t="inlineStr">
        <is>
          <t>Candling Strobe LED Driver Relay</t>
        </is>
      </c>
      <c r="E92" s="14" t="inlineStr">
        <is>
          <t>GPIO 19 strobe trigger synchronized with camera exposure</t>
        </is>
      </c>
      <c r="F92" s="14" t="inlineStr">
        <is>
          <t>System Flowchart Node 7</t>
        </is>
      </c>
      <c r="G92" s="13" t="inlineStr">
        <is>
          <t>Codex</t>
        </is>
      </c>
      <c r="H92" s="15" t="inlineStr">
        <is>
          <t>Done</t>
        </is>
      </c>
      <c r="I92" s="13" t="inlineStr">
        <is>
          <t>P1 - High</t>
        </is>
      </c>
      <c r="J92" s="14" t="inlineStr">
        <is>
          <t>esp32_actuator.ino review</t>
        </is>
      </c>
    </row>
    <row r="93" ht="22" customHeight="1">
      <c r="A93" s="16" t="inlineStr">
        <is>
          <t>TASK-FW-SER-01</t>
        </is>
      </c>
      <c r="B93" s="16" t="inlineStr">
        <is>
          <t>Phase 4A: Firmware</t>
        </is>
      </c>
      <c r="C93" s="17" t="inlineStr">
        <is>
          <t>Firmware</t>
        </is>
      </c>
      <c r="D93" s="17" t="inlineStr">
        <is>
          <t>Non-Blocking Serial UART Command Parser</t>
        </is>
      </c>
      <c r="E93" s="17" t="inlineStr">
        <is>
          <t>Buffer incoming 115200 baud UART bytes without delay() calls</t>
        </is>
      </c>
      <c r="F93" s="17" t="inlineStr">
        <is>
          <t>AGENTS.md Firmware</t>
        </is>
      </c>
      <c r="G93" s="16" t="inlineStr">
        <is>
          <t>Codex</t>
        </is>
      </c>
      <c r="H93" s="15" t="inlineStr">
        <is>
          <t>Done</t>
        </is>
      </c>
      <c r="I93" s="16" t="inlineStr">
        <is>
          <t>P0 - Critical</t>
        </is>
      </c>
      <c r="J93" s="17" t="inlineStr">
        <is>
          <t>esp32_actuator.ino review</t>
        </is>
      </c>
    </row>
    <row r="94" ht="22" customHeight="1">
      <c r="A94" s="13" t="inlineStr">
        <is>
          <t>TASK-FW-SER-02</t>
        </is>
      </c>
      <c r="B94" s="13" t="inlineStr">
        <is>
          <t>Phase 4A: Firmware</t>
        </is>
      </c>
      <c r="C94" s="14" t="inlineStr">
        <is>
          <t>Firmware</t>
        </is>
      </c>
      <c r="D94" s="14" t="inlineStr">
        <is>
          <t>Serial ACK / NACK Status Protocol</t>
        </is>
      </c>
      <c r="E94" s="14" t="inlineStr">
        <is>
          <t>Transmit acknowledgement packets upon command execution to edge driver</t>
        </is>
      </c>
      <c r="F94" s="14" t="inlineStr">
        <is>
          <t>System Flowchart Node 3</t>
        </is>
      </c>
      <c r="G94" s="13" t="inlineStr">
        <is>
          <t>Codex</t>
        </is>
      </c>
      <c r="H94" s="18" t="inlineStr">
        <is>
          <t>Backlog</t>
        </is>
      </c>
      <c r="I94" s="13" t="inlineStr">
        <is>
          <t>P1 - High</t>
        </is>
      </c>
      <c r="J94" s="14" t="inlineStr">
        <is>
          <t>Serial loopback test</t>
        </is>
      </c>
    </row>
    <row r="95" ht="22" customHeight="1">
      <c r="A95" s="16" t="inlineStr">
        <is>
          <t>TASK-FW-STP-01</t>
        </is>
      </c>
      <c r="B95" s="16" t="inlineStr">
        <is>
          <t>Phase 4A: Firmware</t>
        </is>
      </c>
      <c r="C95" s="17" t="inlineStr">
        <is>
          <t>Firmware</t>
        </is>
      </c>
      <c r="D95" s="17" t="inlineStr">
        <is>
          <t>Stepper Pocket-Conveyor Transport Routine</t>
        </is>
      </c>
      <c r="E95" s="17" t="inlineStr">
        <is>
          <t>Indexed step timing to advance pocket conveyor one cradle at a time</t>
        </is>
      </c>
      <c r="F95" s="17" t="inlineStr">
        <is>
          <t>System Flowchart Node 6,14</t>
        </is>
      </c>
      <c r="G95" s="16" t="inlineStr">
        <is>
          <t>Codex</t>
        </is>
      </c>
      <c r="H95" s="18" t="inlineStr">
        <is>
          <t>Backlog</t>
        </is>
      </c>
      <c r="I95" s="16" t="inlineStr">
        <is>
          <t>P0 - Critical</t>
        </is>
      </c>
      <c r="J95" s="17" t="inlineStr">
        <is>
          <t>Firmware bench test</t>
        </is>
      </c>
    </row>
    <row r="96" ht="22" customHeight="1">
      <c r="A96" s="13" t="inlineStr">
        <is>
          <t>TASK-FW-SRV-01</t>
        </is>
      </c>
      <c r="B96" s="13" t="inlineStr">
        <is>
          <t>Phase 4A: Firmware</t>
        </is>
      </c>
      <c r="C96" s="14" t="inlineStr">
        <is>
          <t>Firmware</t>
        </is>
      </c>
      <c r="D96" s="14" t="inlineStr">
        <is>
          <t>Servo Gate 1 (Fertile Release)</t>
        </is>
      </c>
      <c r="E96" s="14" t="inlineStr">
        <is>
          <t>Actuate servo diverter for Fertile eggs into cushioned incubation tray</t>
        </is>
      </c>
      <c r="F96" s="14" t="inlineStr">
        <is>
          <t>System Flowchart Node 18</t>
        </is>
      </c>
      <c r="G96" s="13" t="inlineStr">
        <is>
          <t>Codex</t>
        </is>
      </c>
      <c r="H96" s="15" t="inlineStr">
        <is>
          <t>Done</t>
        </is>
      </c>
      <c r="I96" s="13" t="inlineStr">
        <is>
          <t>P0 - Critical</t>
        </is>
      </c>
      <c r="J96" s="14" t="inlineStr">
        <is>
          <t>esp32_actuator.ino review</t>
        </is>
      </c>
    </row>
    <row r="97" ht="22" customHeight="1">
      <c r="A97" s="16" t="inlineStr">
        <is>
          <t>TASK-FW-SRV-02</t>
        </is>
      </c>
      <c r="B97" s="16" t="inlineStr">
        <is>
          <t>Phase 4A: Firmware</t>
        </is>
      </c>
      <c r="C97" s="17" t="inlineStr">
        <is>
          <t>Firmware</t>
        </is>
      </c>
      <c r="D97" s="17" t="inlineStr">
        <is>
          <t>Servo Gate 2 (Infertile / Penoy Salvage)</t>
        </is>
      </c>
      <c r="E97" s="17" t="inlineStr">
        <is>
          <t>Actuate servo diverter for Day 10 Penoy salvage sale (@ P14.00)</t>
        </is>
      </c>
      <c r="F97" s="17" t="inlineStr">
        <is>
          <t>System Flowchart Node 19</t>
        </is>
      </c>
      <c r="G97" s="16" t="inlineStr">
        <is>
          <t>Codex</t>
        </is>
      </c>
      <c r="H97" s="18" t="inlineStr">
        <is>
          <t>Backlog</t>
        </is>
      </c>
      <c r="I97" s="16" t="inlineStr">
        <is>
          <t>P0 - Critical</t>
        </is>
      </c>
      <c r="J97" s="17" t="inlineStr">
        <is>
          <t>Firmware bench test</t>
        </is>
      </c>
    </row>
    <row r="98" ht="22" customHeight="1">
      <c r="A98" s="13" t="inlineStr">
        <is>
          <t>TASK-FW-KIN-01</t>
        </is>
      </c>
      <c r="B98" s="13" t="inlineStr">
        <is>
          <t>Phase 4A: Firmware</t>
        </is>
      </c>
      <c r="C98" s="14" t="inlineStr">
        <is>
          <t>Firmware</t>
        </is>
      </c>
      <c r="D98" s="14" t="inlineStr">
        <is>
          <t>Kinematic Actuation Delay Timer</t>
        </is>
      </c>
      <c r="E98" s="14" t="inlineStr">
        <is>
          <t>Calculate Delta-t = D / v = 25cm / 12.5cm/s = 2000ms delay before servo firing</t>
        </is>
      </c>
      <c r="F98" s="14" t="inlineStr">
        <is>
          <t>Methodology 3.4</t>
        </is>
      </c>
      <c r="G98" s="13" t="inlineStr">
        <is>
          <t>Codex</t>
        </is>
      </c>
      <c r="H98" s="15" t="inlineStr">
        <is>
          <t>Done</t>
        </is>
      </c>
      <c r="I98" s="13" t="inlineStr">
        <is>
          <t>P0 - Critical</t>
        </is>
      </c>
      <c r="J98" s="14" t="inlineStr">
        <is>
          <t>esp32_actuator.ino review</t>
        </is>
      </c>
    </row>
    <row r="99" ht="22" customHeight="1">
      <c r="A99" s="16" t="inlineStr">
        <is>
          <t>TASK-AI-DS-01</t>
        </is>
      </c>
      <c r="B99" s="16" t="inlineStr">
        <is>
          <t>Phase 2: Dataset</t>
        </is>
      </c>
      <c r="C99" s="17" t="inlineStr">
        <is>
          <t>AI &amp; Data</t>
        </is>
      </c>
      <c r="D99" s="17" t="inlineStr">
        <is>
          <t>Dataset 70/15/15 Stratification Pipeline</t>
        </is>
      </c>
      <c r="E99" s="17" t="inlineStr">
        <is>
          <t>Partition 3,000+ candling images into 70% Train, 15% Val, 15% Test</t>
        </is>
      </c>
      <c r="F99" s="17" t="inlineStr">
        <is>
          <t>IPO Matrix / Meth</t>
        </is>
      </c>
      <c r="G99" s="16" t="inlineStr">
        <is>
          <t>Codex</t>
        </is>
      </c>
      <c r="H99" s="18" t="inlineStr">
        <is>
          <t>Backlog</t>
        </is>
      </c>
      <c r="I99" s="16" t="inlineStr">
        <is>
          <t>P0 - Critical</t>
        </is>
      </c>
      <c r="J99" s="17" t="inlineStr">
        <is>
          <t>test_dataset_stratification.py</t>
        </is>
      </c>
    </row>
    <row r="100" ht="22" customHeight="1">
      <c r="A100" s="13" t="inlineStr">
        <is>
          <t>TASK-AI-DS-02</t>
        </is>
      </c>
      <c r="B100" s="13" t="inlineStr">
        <is>
          <t>Phase 2: Dataset</t>
        </is>
      </c>
      <c r="C100" s="14" t="inlineStr">
        <is>
          <t>AI &amp; Data</t>
        </is>
      </c>
      <c r="D100" s="14" t="inlineStr">
        <is>
          <t>Whole-Egg YOLO Bounding Box Validator</t>
        </is>
      </c>
      <c r="E100" s="14" t="inlineStr">
        <is>
          <t>Verify YOLO darknet format [class_id, x, y, w, h] enclosing whole egg</t>
        </is>
      </c>
      <c r="F100" s="14" t="inlineStr">
        <is>
          <t>IPO Matrix</t>
        </is>
      </c>
      <c r="G100" s="13" t="inlineStr">
        <is>
          <t>Codex</t>
        </is>
      </c>
      <c r="H100" s="18" t="inlineStr">
        <is>
          <t>Backlog</t>
        </is>
      </c>
      <c r="I100" s="13" t="inlineStr">
        <is>
          <t>P1 - High</t>
        </is>
      </c>
      <c r="J100" s="14" t="inlineStr">
        <is>
          <t>test_annotation_bounds.py</t>
        </is>
      </c>
    </row>
    <row r="101" ht="22" customHeight="1">
      <c r="A101" s="16" t="inlineStr">
        <is>
          <t>TASK-AI-DS-03</t>
        </is>
      </c>
      <c r="B101" s="16" t="inlineStr">
        <is>
          <t>Phase 2: Dataset</t>
        </is>
      </c>
      <c r="C101" s="17" t="inlineStr">
        <is>
          <t>AI &amp; Data</t>
        </is>
      </c>
      <c r="D101" s="17" t="inlineStr">
        <is>
          <t>Candling Transillumination Augmentations</t>
        </is>
      </c>
      <c r="E101" s="17" t="inlineStr">
        <is>
          <t>HSV luminance jitter (V +/-20%) and +/-15 deg rotation pipeline</t>
        </is>
      </c>
      <c r="F101" s="17" t="inlineStr">
        <is>
          <t>Chapter 3.2</t>
        </is>
      </c>
      <c r="G101" s="16" t="inlineStr">
        <is>
          <t>Codex</t>
        </is>
      </c>
      <c r="H101" s="18" t="inlineStr">
        <is>
          <t>Backlog</t>
        </is>
      </c>
      <c r="I101" s="16" t="inlineStr">
        <is>
          <t>P2 - Medium</t>
        </is>
      </c>
      <c r="J101" s="17" t="inlineStr">
        <is>
          <t>test_augmentation_visuals.py</t>
        </is>
      </c>
    </row>
    <row r="102" ht="22" customHeight="1">
      <c r="A102" s="13" t="inlineStr">
        <is>
          <t>TASK-AI-DS-04</t>
        </is>
      </c>
      <c r="B102" s="13" t="inlineStr">
        <is>
          <t>Phase 2: Dataset</t>
        </is>
      </c>
      <c r="C102" s="14" t="inlineStr">
        <is>
          <t>AI &amp; Data</t>
        </is>
      </c>
      <c r="D102" s="14" t="inlineStr">
        <is>
          <t>Dataset Distribution Summary Exporter</t>
        </is>
      </c>
      <c r="E102" s="14" t="inlineStr">
        <is>
          <t>Generate automated Markdown and LaTeX tables of egg counts for manuscript</t>
        </is>
      </c>
      <c r="F102" s="14" t="inlineStr">
        <is>
          <t>Chapter 3.2</t>
        </is>
      </c>
      <c r="G102" s="13" t="inlineStr">
        <is>
          <t>Codex</t>
        </is>
      </c>
      <c r="H102" s="18" t="inlineStr">
        <is>
          <t>Backlog</t>
        </is>
      </c>
      <c r="I102" s="13" t="inlineStr">
        <is>
          <t>P2 - Medium</t>
        </is>
      </c>
      <c r="J102" s="14" t="inlineStr">
        <is>
          <t>export_dataset_table.py</t>
        </is>
      </c>
    </row>
    <row r="103" ht="22" customHeight="1">
      <c r="A103" s="16" t="inlineStr">
        <is>
          <t>TASK-AI-TRN-01</t>
        </is>
      </c>
      <c r="B103" s="16" t="inlineStr">
        <is>
          <t>Phase 3: AI Vision</t>
        </is>
      </c>
      <c r="C103" s="17" t="inlineStr">
        <is>
          <t>AI &amp; Data</t>
        </is>
      </c>
      <c r="D103" s="17" t="inlineStr">
        <is>
          <t>Ultralytics YOLOv8 Training Script</t>
        </is>
      </c>
      <c r="E103" s="17" t="inlineStr">
        <is>
          <t>Implement model training pipeline with CIoU + BCE + DFL loss functions</t>
        </is>
      </c>
      <c r="F103" s="17" t="inlineStr">
        <is>
          <t>Methodology 3.3</t>
        </is>
      </c>
      <c r="G103" s="16" t="inlineStr">
        <is>
          <t>Codex</t>
        </is>
      </c>
      <c r="H103" s="18" t="inlineStr">
        <is>
          <t>Backlog</t>
        </is>
      </c>
      <c r="I103" s="16" t="inlineStr">
        <is>
          <t>P1 - High</t>
        </is>
      </c>
      <c r="J103" s="17" t="inlineStr">
        <is>
          <t>train_yolov8.py smoke test</t>
        </is>
      </c>
    </row>
    <row r="104" ht="22" customHeight="1">
      <c r="A104" s="13" t="inlineStr">
        <is>
          <t>TASK-AI-OPT-01</t>
        </is>
      </c>
      <c r="B104" s="13" t="inlineStr">
        <is>
          <t>Phase 3: AI Vision</t>
        </is>
      </c>
      <c r="C104" s="14" t="inlineStr">
        <is>
          <t>AI &amp; Data</t>
        </is>
      </c>
      <c r="D104" s="14" t="inlineStr">
        <is>
          <t>ONNX FP16 Slim Export &amp; Half-Precision Graph</t>
        </is>
      </c>
      <c r="E104" s="14" t="inlineStr">
        <is>
          <t>Convert PyTorch weights to ONNX FP16 slim graph for edge inference</t>
        </is>
      </c>
      <c r="F104" s="14" t="inlineStr">
        <is>
          <t>AGENTS.md Tenet 3</t>
        </is>
      </c>
      <c r="G104" s="13" t="inlineStr">
        <is>
          <t>Codex</t>
        </is>
      </c>
      <c r="H104" s="15" t="inlineStr">
        <is>
          <t>Done</t>
        </is>
      </c>
      <c r="I104" s="13" t="inlineStr">
        <is>
          <t>P0 - Critical</t>
        </is>
      </c>
      <c r="J104" s="14" t="inlineStr">
        <is>
          <t>export_onnx.py check</t>
        </is>
      </c>
    </row>
    <row r="105" ht="22" customHeight="1">
      <c r="A105" s="16" t="inlineStr">
        <is>
          <t>TASK-AI-OPT-02</t>
        </is>
      </c>
      <c r="B105" s="16" t="inlineStr">
        <is>
          <t>Phase 3: AI Vision</t>
        </is>
      </c>
      <c r="C105" s="17" t="inlineStr">
        <is>
          <t>AI &amp; Data</t>
        </is>
      </c>
      <c r="D105" s="17" t="inlineStr">
        <is>
          <t>Production Weights 'edge/models/weights/best.onnx'</t>
        </is>
      </c>
      <c r="E105" s="17" t="inlineStr">
        <is>
          <t>Verified production ONNX FP16 weights ready for edge execution</t>
        </is>
      </c>
      <c r="F105" s="17" t="inlineStr">
        <is>
          <t>AGENTS.md Tenet 3</t>
        </is>
      </c>
      <c r="G105" s="16" t="inlineStr">
        <is>
          <t>Codex</t>
        </is>
      </c>
      <c r="H105" s="15" t="inlineStr">
        <is>
          <t>Done</t>
        </is>
      </c>
      <c r="I105" s="16" t="inlineStr">
        <is>
          <t>P0 - Critical</t>
        </is>
      </c>
      <c r="J105" s="17" t="inlineStr">
        <is>
          <t>test_inference_engine_and_latency_benchmark</t>
        </is>
      </c>
    </row>
    <row r="106" ht="22" customHeight="1">
      <c r="A106" s="13" t="inlineStr">
        <is>
          <t>TASK-AI-LAT-01</t>
        </is>
      </c>
      <c r="B106" s="13" t="inlineStr">
        <is>
          <t>Phase 3: AI Vision</t>
        </is>
      </c>
      <c r="C106" s="14" t="inlineStr">
        <is>
          <t>AI &amp; Data</t>
        </is>
      </c>
      <c r="D106" s="14" t="inlineStr">
        <is>
          <t>Edge Inference Latency Benchmark (&lt;=200ms)</t>
        </is>
      </c>
      <c r="E106" s="14" t="inlineStr">
        <is>
          <t>Benchmark inference latency ensuring &lt;= 200 ms SLA on edge hardware</t>
        </is>
      </c>
      <c r="F106" s="14" t="inlineStr">
        <is>
          <t>Chapter 1 Objectives</t>
        </is>
      </c>
      <c r="G106" s="13" t="inlineStr">
        <is>
          <t>Codex</t>
        </is>
      </c>
      <c r="H106" s="15" t="inlineStr">
        <is>
          <t>Done</t>
        </is>
      </c>
      <c r="I106" s="13" t="inlineStr">
        <is>
          <t>P0 - Critical</t>
        </is>
      </c>
      <c r="J106" s="14" t="inlineStr">
        <is>
          <t>test_inference_engine_and_latency_benchmark</t>
        </is>
      </c>
    </row>
    <row r="107" ht="22" customHeight="1">
      <c r="A107" s="16" t="inlineStr">
        <is>
          <t>TASK-AI-EVL-01</t>
        </is>
      </c>
      <c r="B107" s="16" t="inlineStr">
        <is>
          <t>Phase 3: AI Vision</t>
        </is>
      </c>
      <c r="C107" s="17" t="inlineStr">
        <is>
          <t>AI &amp; Data</t>
        </is>
      </c>
      <c r="D107" s="17" t="inlineStr">
        <is>
          <t>Breed Subgroup Metric Evaluator</t>
        </is>
      </c>
      <c r="E107" s="17" t="inlineStr">
        <is>
          <t>Compute Precision, Recall, F1, mAP for IP-Itim, Khaki, and Kayumanggi</t>
        </is>
      </c>
      <c r="F107" s="17" t="inlineStr">
        <is>
          <t>IPO Matrix</t>
        </is>
      </c>
      <c r="G107" s="16" t="inlineStr">
        <is>
          <t>Codex</t>
        </is>
      </c>
      <c r="H107" s="18" t="inlineStr">
        <is>
          <t>Backlog</t>
        </is>
      </c>
      <c r="I107" s="16" t="inlineStr">
        <is>
          <t>P1 - High</t>
        </is>
      </c>
      <c r="J107" s="17" t="inlineStr">
        <is>
          <t>test_subgroup_metrics.py</t>
        </is>
      </c>
    </row>
    <row r="108" ht="22" customHeight="1">
      <c r="A108" s="13" t="inlineStr">
        <is>
          <t>TASK-AI-EVL-02</t>
        </is>
      </c>
      <c r="B108" s="13" t="inlineStr">
        <is>
          <t>Phase 3: AI Vision</t>
        </is>
      </c>
      <c r="C108" s="14" t="inlineStr">
        <is>
          <t>AI &amp; Data</t>
        </is>
      </c>
      <c r="D108" s="14" t="inlineStr">
        <is>
          <t>Day 10 Subgroup Metric Evaluator</t>
        </is>
      </c>
      <c r="E108" s="14" t="inlineStr">
        <is>
          <t>Compute Precision, Recall, F1, and mAP across Day 10 cohorts</t>
        </is>
      </c>
      <c r="F108" s="14" t="inlineStr">
        <is>
          <t>IPO Matrix</t>
        </is>
      </c>
      <c r="G108" s="13" t="inlineStr">
        <is>
          <t>Codex</t>
        </is>
      </c>
      <c r="H108" s="18" t="inlineStr">
        <is>
          <t>Backlog</t>
        </is>
      </c>
      <c r="I108" s="13" t="inlineStr">
        <is>
          <t>P1 - High</t>
        </is>
      </c>
      <c r="J108" s="14" t="inlineStr">
        <is>
          <t>test_subgroup_metrics.py</t>
        </is>
      </c>
    </row>
    <row r="109" ht="22" customHeight="1">
      <c r="A109" s="16" t="inlineStr">
        <is>
          <t>TASK-AI-EVL-03</t>
        </is>
      </c>
      <c r="B109" s="16" t="inlineStr">
        <is>
          <t>Phase 3: AI Vision</t>
        </is>
      </c>
      <c r="C109" s="17" t="inlineStr">
        <is>
          <t>AI &amp; Data</t>
        </is>
      </c>
      <c r="D109" s="17" t="inlineStr">
        <is>
          <t>2-Class Confusion Matrix &amp; PR Curve Generator</t>
        </is>
      </c>
      <c r="E109" s="17" t="inlineStr">
        <is>
          <t>Generate Fertile/Infertile metrics for Chapter 4</t>
        </is>
      </c>
      <c r="F109" s="17" t="inlineStr">
        <is>
          <t>Chapter 4 Manuscript</t>
        </is>
      </c>
      <c r="G109" s="16" t="inlineStr">
        <is>
          <t>Codex</t>
        </is>
      </c>
      <c r="H109" s="18" t="inlineStr">
        <is>
          <t>Backlog</t>
        </is>
      </c>
      <c r="I109" s="16" t="inlineStr">
        <is>
          <t>P0 - Critical</t>
        </is>
      </c>
      <c r="J109" s="17" t="inlineStr">
        <is>
          <t>generate_confusion_matrix.py</t>
        </is>
      </c>
    </row>
    <row r="110" ht="22" customHeight="1">
      <c r="A110" s="13" t="inlineStr">
        <is>
          <t>TASK-INT-01</t>
        </is>
      </c>
      <c r="B110" s="13" t="inlineStr">
        <is>
          <t>Phase 5: Integration</t>
        </is>
      </c>
      <c r="C110" s="14" t="inlineStr">
        <is>
          <t>Integration</t>
        </is>
      </c>
      <c r="D110" s="14" t="inlineStr">
        <is>
          <t>End-to-End Sorting Pilot Simulation</t>
        </is>
      </c>
      <c r="E110" s="14" t="inlineStr">
        <is>
          <t>Simulate 50-egg continuous cycle: load -&gt; index -&gt; capture -&gt; predict -&gt; divert -&gt; sync</t>
        </is>
      </c>
      <c r="F110" s="14" t="inlineStr">
        <is>
          <t>System Flowchart</t>
        </is>
      </c>
      <c r="G110" s="13" t="inlineStr">
        <is>
          <t>Antigravity / Codex</t>
        </is>
      </c>
      <c r="H110" s="18" t="inlineStr">
        <is>
          <t>Backlog</t>
        </is>
      </c>
      <c r="I110" s="13" t="inlineStr">
        <is>
          <t>P0 - Critical</t>
        </is>
      </c>
      <c r="J110" s="14" t="inlineStr">
        <is>
          <t>test_end_to_end_pilot.py</t>
        </is>
      </c>
    </row>
    <row r="111" ht="22" customHeight="1">
      <c r="A111" s="16" t="inlineStr">
        <is>
          <t>TASK-INT-02</t>
        </is>
      </c>
      <c r="B111" s="16" t="inlineStr">
        <is>
          <t>Phase 5: Integration</t>
        </is>
      </c>
      <c r="C111" s="17" t="inlineStr">
        <is>
          <t>Integration</t>
        </is>
      </c>
      <c r="D111" s="17" t="inlineStr">
        <is>
          <t>Offline Network Replay Resilience Test</t>
        </is>
      </c>
      <c r="E111" s="17" t="inlineStr">
        <is>
          <t>Cut network; confirm 100% sorting at edge; reconnect and verify bulk replay</t>
        </is>
      </c>
      <c r="F111" s="17" t="inlineStr">
        <is>
          <t>AGENTS.md Offline</t>
        </is>
      </c>
      <c r="G111" s="16" t="inlineStr">
        <is>
          <t>Antigravity / Codex</t>
        </is>
      </c>
      <c r="H111" s="18" t="inlineStr">
        <is>
          <t>Backlog</t>
        </is>
      </c>
      <c r="I111" s="16" t="inlineStr">
        <is>
          <t>P0 - Critical</t>
        </is>
      </c>
      <c r="J111" s="17" t="inlineStr">
        <is>
          <t>test_offline_network_replay.py</t>
        </is>
      </c>
    </row>
    <row r="112" ht="22" customHeight="1">
      <c r="A112" s="13" t="inlineStr">
        <is>
          <t>TASK-INT-03</t>
        </is>
      </c>
      <c r="B112" s="13" t="inlineStr">
        <is>
          <t>Phase 5: Integration</t>
        </is>
      </c>
      <c r="C112" s="14" t="inlineStr">
        <is>
          <t>Integration</t>
        </is>
      </c>
      <c r="D112" s="14" t="inlineStr">
        <is>
          <t>Cradle Position Jam Recovery Test</t>
        </is>
      </c>
      <c r="E112" s="14" t="inlineStr">
        <is>
          <t>Simulate mechanical index slip; verify conveyor pauses and resyncs</t>
        </is>
      </c>
      <c r="F112" s="14" t="inlineStr">
        <is>
          <t>System Flowchart Node 16</t>
        </is>
      </c>
      <c r="G112" s="13" t="inlineStr">
        <is>
          <t>Antigravity / Codex</t>
        </is>
      </c>
      <c r="H112" s="18" t="inlineStr">
        <is>
          <t>Backlog</t>
        </is>
      </c>
      <c r="I112" s="13" t="inlineStr">
        <is>
          <t>P1 - High</t>
        </is>
      </c>
      <c r="J112" s="14" t="inlineStr">
        <is>
          <t>test_cradle_resync_handler.py</t>
        </is>
      </c>
    </row>
    <row r="113" ht="22" customHeight="1">
      <c r="A113" s="16" t="inlineStr">
        <is>
          <t>TASK-EVL-01</t>
        </is>
      </c>
      <c r="B113" s="16" t="inlineStr">
        <is>
          <t>Phase 6: Evaluation</t>
        </is>
      </c>
      <c r="C113" s="17" t="inlineStr">
        <is>
          <t>Evaluation</t>
        </is>
      </c>
      <c r="D113" s="17" t="inlineStr">
        <is>
          <t>Physical Sorting Accuracy Benchmark</t>
        </is>
      </c>
      <c r="E113" s="17" t="inlineStr">
        <is>
          <t>Run &gt;= 100 physical duck egg trials to measure sorting accuracy rate</t>
        </is>
      </c>
      <c r="F113" s="17" t="inlineStr">
        <is>
          <t>Chapter 1 Objectives</t>
        </is>
      </c>
      <c r="G113" s="16" t="inlineStr">
        <is>
          <t>Antigravity</t>
        </is>
      </c>
      <c r="H113" s="18" t="inlineStr">
        <is>
          <t>Backlog</t>
        </is>
      </c>
      <c r="I113" s="16" t="inlineStr">
        <is>
          <t>P0 - Critical</t>
        </is>
      </c>
      <c r="J113" s="17" t="inlineStr">
        <is>
          <t>Physical trial tally sheet</t>
        </is>
      </c>
    </row>
    <row r="114" ht="22" customHeight="1">
      <c r="A114" s="13" t="inlineStr">
        <is>
          <t>TASK-EVL-02</t>
        </is>
      </c>
      <c r="B114" s="13" t="inlineStr">
        <is>
          <t>Phase 6: Evaluation</t>
        </is>
      </c>
      <c r="C114" s="14" t="inlineStr">
        <is>
          <t>Evaluation</t>
        </is>
      </c>
      <c r="D114" s="14" t="inlineStr">
        <is>
          <t>System Throughput &amp; Cycle Time Profiling</t>
        </is>
      </c>
      <c r="E114" s="14" t="inlineStr">
        <is>
          <t>Measure end-to-end cycle time per egg and throughput (eggs/min)</t>
        </is>
      </c>
      <c r="F114" s="14" t="inlineStr">
        <is>
          <t>Chapter 1 Objectives</t>
        </is>
      </c>
      <c r="G114" s="13" t="inlineStr">
        <is>
          <t>Antigravity</t>
        </is>
      </c>
      <c r="H114" s="18" t="inlineStr">
        <is>
          <t>Backlog</t>
        </is>
      </c>
      <c r="I114" s="13" t="inlineStr">
        <is>
          <t>P1 - High</t>
        </is>
      </c>
      <c r="J114" s="14" t="inlineStr">
        <is>
          <t>Kinematics benchmark report</t>
        </is>
      </c>
    </row>
    <row r="115" ht="22" customHeight="1">
      <c r="A115" s="16" t="inlineStr">
        <is>
          <t>TASK-DEF-01</t>
        </is>
      </c>
      <c r="B115" s="16" t="inlineStr">
        <is>
          <t>Phase 7: Defense</t>
        </is>
      </c>
      <c r="C115" s="17" t="inlineStr">
        <is>
          <t>Defense Prep</t>
        </is>
      </c>
      <c r="D115" s="17" t="inlineStr">
        <is>
          <t>Manuscript Chapter 4 (Results &amp; Discussion)</t>
        </is>
      </c>
      <c r="E115" s="17" t="inlineStr">
        <is>
          <t>Draft Chapter 4 using empirical metrics, confusion matrices, latency charts</t>
        </is>
      </c>
      <c r="F115" s="17" t="inlineStr">
        <is>
          <t>Chapter 4</t>
        </is>
      </c>
      <c r="G115" s="16" t="inlineStr">
        <is>
          <t>Antigravity</t>
        </is>
      </c>
      <c r="H115" s="18" t="inlineStr">
        <is>
          <t>Backlog</t>
        </is>
      </c>
      <c r="I115" s="16" t="inlineStr">
        <is>
          <t>P0 - Critical</t>
        </is>
      </c>
      <c r="J115" s="17" t="inlineStr">
        <is>
          <t>Manuscript peer review</t>
        </is>
      </c>
    </row>
    <row r="116" ht="22" customHeight="1">
      <c r="A116" s="13" t="inlineStr">
        <is>
          <t>TASK-DEF-02</t>
        </is>
      </c>
      <c r="B116" s="13" t="inlineStr">
        <is>
          <t>Phase 7: Defense</t>
        </is>
      </c>
      <c r="C116" s="14" t="inlineStr">
        <is>
          <t>Defense Prep</t>
        </is>
      </c>
      <c r="D116" s="14" t="inlineStr">
        <is>
          <t>Manuscript Chapter 5 (Conclusions &amp; Recommendations)</t>
        </is>
      </c>
      <c r="E116" s="14" t="inlineStr">
        <is>
          <t>Summarize findings, answer research questions 1-4, formulate recommendations</t>
        </is>
      </c>
      <c r="F116" s="14" t="inlineStr">
        <is>
          <t>Chapter 5</t>
        </is>
      </c>
      <c r="G116" s="13" t="inlineStr">
        <is>
          <t>Antigravity</t>
        </is>
      </c>
      <c r="H116" s="18" t="inlineStr">
        <is>
          <t>Backlog</t>
        </is>
      </c>
      <c r="I116" s="13" t="inlineStr">
        <is>
          <t>P0 - Critical</t>
        </is>
      </c>
      <c r="J116" s="14" t="inlineStr">
        <is>
          <t>Adviser review</t>
        </is>
      </c>
    </row>
    <row r="117" ht="22" customHeight="1">
      <c r="A117" s="16" t="inlineStr">
        <is>
          <t>TASK-DEF-03</t>
        </is>
      </c>
      <c r="B117" s="16" t="inlineStr">
        <is>
          <t>Phase 7: Defense</t>
        </is>
      </c>
      <c r="C117" s="17" t="inlineStr">
        <is>
          <t>Deployment</t>
        </is>
      </c>
      <c r="D117" s="17" t="inlineStr">
        <is>
          <t>1-Click Docker Production Verification</t>
        </is>
      </c>
      <c r="E117" s="17" t="inlineStr">
        <is>
          <t>Verify docker-compose up for PostgreSQL 16, FastAPI backend, React dashboard</t>
        </is>
      </c>
      <c r="F117" s="17" t="inlineStr">
        <is>
          <t>docker-compose.yml</t>
        </is>
      </c>
      <c r="G117" s="16" t="inlineStr">
        <is>
          <t>Antigravity / Codex</t>
        </is>
      </c>
      <c r="H117" s="15" t="inlineStr">
        <is>
          <t>Done</t>
        </is>
      </c>
      <c r="I117" s="16" t="inlineStr">
        <is>
          <t>P0 - Critical</t>
        </is>
      </c>
      <c r="J117" s="17" t="inlineStr">
        <is>
          <t>docker-compose config test</t>
        </is>
      </c>
    </row>
    <row r="118" ht="60" customHeight="1">
      <c r="A118" s="19" t="inlineStr">
        <is>
          <t>TASK-NEW-FW-APP-01</t>
        </is>
      </c>
      <c r="B118" s="19" t="inlineStr">
        <is>
          <t>Phase 4A: Firmware</t>
        </is>
      </c>
      <c r="C118" s="20" t="inlineStr">
        <is>
          <t>Firmware</t>
        </is>
      </c>
      <c r="D118" s="20" t="inlineStr">
        <is>
          <t>Unified egg and servo prototype app</t>
        </is>
      </c>
      <c r="E118" s="20" t="inlineStr">
        <is>
          <t>CustomTkinter app with independent serial workers, calibration, servo presets, shared controls and explicit simulation</t>
        </is>
      </c>
      <c r="F118" s="20" t="inlineStr">
        <is>
          <t>Firmware prototype</t>
        </is>
      </c>
      <c r="G118" s="19" t="inlineStr">
        <is>
          <t>Codex</t>
        </is>
      </c>
      <c r="H118" s="21" t="inlineStr">
        <is>
          <t>Done</t>
        </is>
      </c>
      <c r="I118" s="19" t="inlineStr">
        <is>
          <t>P1 - High</t>
        </is>
      </c>
      <c r="J118" s="20" t="inlineStr">
        <is>
          <t>edge/tests/test_firmware_prototype.py + GUI simulation smoke test</t>
        </is>
      </c>
    </row>
    <row r="119" ht="60" customHeight="1">
      <c r="A119" s="19" t="inlineStr">
        <is>
          <t>TASK-NEW-FW-DET-01</t>
        </is>
      </c>
      <c r="B119" s="19" t="inlineStr">
        <is>
          <t>Phase 4A: Firmware</t>
        </is>
      </c>
      <c r="C119" s="20" t="inlineStr">
        <is>
          <t>Firmware</t>
        </is>
      </c>
      <c r="D119" s="20" t="inlineStr">
        <is>
          <t>Camera egg detection and optimized operator workspace</t>
        </is>
      </c>
      <c r="E119" s="20" t="inlineStr">
        <is>
          <t>Real ONNX classification, stable egg presence, WAL scan recording, manual review, optical events, and bounded background work</t>
        </is>
      </c>
      <c r="F119" s="20" t="inlineStr">
        <is>
          <t>Edge prototype</t>
        </is>
      </c>
      <c r="G119" s="19" t="inlineStr">
        <is>
          <t>Codex</t>
        </is>
      </c>
      <c r="H119" s="21" t="inlineStr">
        <is>
          <t>Done</t>
        </is>
      </c>
      <c r="I119" s="19" t="inlineStr">
        <is>
          <t>P1 - High</t>
        </is>
      </c>
      <c r="J119" s="20" t="inlineStr">
        <is>
          <t>edge/tests/test_prototype_vision.py and real camera UI smoke test</t>
        </is>
      </c>
    </row>
    <row r="120" ht="60" customHeight="1">
      <c r="A120" s="19" t="inlineStr">
        <is>
          <t>TASK-NEW-FW-CYCLE-01</t>
        </is>
      </c>
      <c r="B120" s="19" t="inlineStr">
        <is>
          <t>Phase 4A: Firmware</t>
        </is>
      </c>
      <c r="C120" s="20" t="inlineStr">
        <is>
          <t>Firmware</t>
        </is>
      </c>
      <c r="D120" s="20" t="inlineStr">
        <is>
          <t>Automatic stepper, camera and servo integration cycle</t>
        </is>
      </c>
      <c r="E120" s="20" t="inlineStr">
        <is>
          <t>Configurable travel, stationary captures, persisted detection, feedback-driven moves, gate hold, repeat cycles, and manual-review recovery</t>
        </is>
      </c>
      <c r="F120" s="20" t="inlineStr">
        <is>
          <t>Edge prototype</t>
        </is>
      </c>
      <c r="G120" s="19" t="inlineStr">
        <is>
          <t>Codex</t>
        </is>
      </c>
      <c r="H120" s="21" t="inlineStr">
        <is>
          <t>Done</t>
        </is>
      </c>
      <c r="I120" s="19" t="inlineStr">
        <is>
          <t>P1 - High</t>
        </is>
      </c>
      <c r="J120" s="20" t="inlineStr">
        <is>
          <t>edge/tests/test_prototype_cycle.py, inspection rearm tests and UI smoke check</t>
        </is>
      </c>
    </row>
    <row r="121" ht="70" customHeight="1">
      <c r="A121" s="19" t="inlineStr">
        <is>
          <t>TASK-NEW-EDGE-CONTROL-01</t>
        </is>
      </c>
      <c r="B121" s="19" t="inlineStr">
        <is>
          <t>Phase 4B: Edge CV</t>
        </is>
      </c>
      <c r="C121" s="20" t="inlineStr">
        <is>
          <t>Edge</t>
        </is>
      </c>
      <c r="D121" s="20" t="inlineStr">
        <is>
          <t>Dual-board station control and camera defaults</t>
        </is>
      </c>
      <c r="E121" s="20" t="inlineStr">
        <is>
          <t>IR-stopped holder tracking; WAL evidence; saved camera/AI defaults. Firmware identification, upload and rig bench validation remain required.</t>
        </is>
      </c>
      <c r="F121" s="20" t="inlineStr">
        <is>
          <t>docs/OVALENS_EDGE_STATION_CONTROL.md</t>
        </is>
      </c>
      <c r="G121" s="19" t="inlineStr">
        <is>
          <t>Codex</t>
        </is>
      </c>
      <c r="H121" s="21" t="inlineStr">
        <is>
          <t>Done</t>
        </is>
      </c>
      <c r="I121" s="19" t="inlineStr">
        <is>
          <t>P1 - High</t>
        </is>
      </c>
      <c r="J121" s="20" t="inlineStr">
        <is>
          <t>edge/tests/test_station_control.py; native firmware tests; hidden-window UI tests</t>
        </is>
      </c>
    </row>
    <row r="122" ht="70" customHeight="1">
      <c r="A122" s="19" t="inlineStr">
        <is>
          <t>TASK-NEW-EDGE-UI-POLISH-01</t>
        </is>
      </c>
      <c r="B122" s="19" t="inlineStr">
        <is>
          <t>Development</t>
        </is>
      </c>
      <c r="C122" s="20" t="inlineStr">
        <is>
          <t>Edge</t>
        </is>
      </c>
      <c r="D122" s="20" t="inlineStr">
        <is>
          <t>Operator typography and visibility</t>
        </is>
      </c>
      <c r="E122" s="20" t="inlineStr">
        <is>
          <t>Native Segoe UI; readable status, controls and settings; minimum 1024x720 layout; skip unchanged Tk control and HUD updates. Simulated GUI and before/after status benchmark.</t>
        </is>
      </c>
      <c r="F122" s="20" t="inlineStr">
        <is>
          <t>TASK-NEW-EDGE-CONTROL-01</t>
        </is>
      </c>
      <c r="G122" s="19" t="inlineStr">
        <is>
          <t>Operator</t>
        </is>
      </c>
      <c r="H122" s="21" t="inlineStr">
        <is>
          <t>Done</t>
        </is>
      </c>
      <c r="I122" s="19" t="inlineStr">
        <is>
          <t>High</t>
        </is>
      </c>
      <c r="J122" s="20" t="inlineStr">
        <is>
          <t>test_ui_refresh.py; test_startup_config.py; repository verification gate</t>
        </is>
      </c>
    </row>
    <row r="123" ht="70" customHeight="1">
      <c r="A123" s="19" t="inlineStr">
        <is>
          <t>TASK-NEW-EDGE-DESIGN-02</t>
        </is>
      </c>
      <c r="B123" s="19" t="inlineStr">
        <is>
          <t>Development</t>
        </is>
      </c>
      <c r="C123" s="20" t="inlineStr">
        <is>
          <t>Edge</t>
        </is>
      </c>
      <c r="D123" s="20" t="inlineStr">
        <is>
          <t>Focused operator design with impeccable</t>
        </is>
      </c>
      <c r="E123" s="20" t="inlineStr">
        <is>
          <t>Single record panel; count rows; restrained semantic colour; camera empty state; primary versus secondary actions. Preserve cached refreshes and minimum-size review controls.</t>
        </is>
      </c>
      <c r="F123" s="20" t="inlineStr">
        <is>
          <t>TASK-NEW-EDGE-CONTROL-01</t>
        </is>
      </c>
      <c r="G123" s="19" t="inlineStr">
        <is>
          <t>Operator</t>
        </is>
      </c>
      <c r="H123" s="21" t="inlineStr">
        <is>
          <t>Done</t>
        </is>
      </c>
      <c r="I123" s="19" t="inlineStr">
        <is>
          <t>High</t>
        </is>
      </c>
      <c r="J123" s="20" t="inlineStr">
        <is>
          <t>test_ui_refresh.py; test_startup_config.py; repository verification gate</t>
        </is>
      </c>
    </row>
    <row r="124" ht="80" customHeight="1">
      <c r="A124" s="19" t="inlineStr">
        <is>
          <t>TASK-NEW-EDGE-3BOARD-01</t>
        </is>
      </c>
      <c r="B124" s="19" t="inlineStr">
        <is>
          <t>Phase 4B: Edge CV</t>
        </is>
      </c>
      <c r="C124" s="20" t="inlineStr">
        <is>
          <t>Edge CV</t>
        </is>
      </c>
      <c r="D124" s="20" t="inlineStr">
        <is>
          <t>Three-board candling integration</t>
        </is>
      </c>
      <c r="E124" s="20" t="inlineStr">
        <is>
          <t>Versioned discovery; hardware pause; fresh capture; WAL evidence; position-tracked gates; manual review and recovery. Firmware upload, intended model and physical acceptance remain separately required.</t>
        </is>
      </c>
      <c r="F124" s="20" t="inlineStr">
        <is>
          <t>docs/EDGE_THREE_BOARD_IMPLEMENTATION.md</t>
        </is>
      </c>
      <c r="G124" s="19" t="inlineStr">
        <is>
          <t>Codex</t>
        </is>
      </c>
      <c r="H124" s="21" t="inlineStr">
        <is>
          <t>Done</t>
        </is>
      </c>
      <c r="I124" s="19" t="inlineStr">
        <is>
          <t>P1 - High</t>
        </is>
      </c>
      <c r="J124" s="20" t="inlineStr">
        <is>
          <t>50-egg worker simulation; native firmware tests; ESP32 builds; repository verification gate</t>
        </is>
      </c>
    </row>
    <row r="125" ht="80" customHeight="1">
      <c r="A125" s="19" t="inlineStr">
        <is>
          <t>TASK-NEW-EDGE-SETUP-01</t>
        </is>
      </c>
      <c r="B125" s="19" t="inlineStr">
        <is>
          <t>Phase 4B: Edge CV</t>
        </is>
      </c>
      <c r="C125" s="20" t="inlineStr">
        <is>
          <t>Edge CV</t>
        </is>
      </c>
      <c r="D125" s="20" t="inlineStr">
        <is>
          <t>Simple default station setup</t>
        </is>
      </c>
      <c r="E125" s="20" t="inlineStr">
        <is>
          <t>Remember COM5 stepper, COM7 servo + IR and COM9 light; role detection; main-screen empty-conveyor preparation; cancellable background setup.</t>
        </is>
      </c>
      <c r="F125" s="20" t="inlineStr">
        <is>
          <t>docs/EDGE_THREE_BOARD_IMPLEMENTATION.md</t>
        </is>
      </c>
      <c r="G125" s="19" t="inlineStr">
        <is>
          <t>Codex</t>
        </is>
      </c>
      <c r="H125" s="21" t="inlineStr">
        <is>
          <t>Done</t>
        </is>
      </c>
      <c r="I125" s="19" t="inlineStr">
        <is>
          <t>P1 - High</t>
        </is>
      </c>
      <c r="J125" s="20" t="inlineStr">
        <is>
          <t>Transport, persistence, cancellation and native GUI tests; repository quality gate; no hardware access</t>
        </is>
      </c>
    </row>
    <row r="126" ht="80" customHeight="1">
      <c r="A126" s="19" t="inlineStr">
        <is>
          <t>TASK-NEW-EDGE-RUNTIME-01</t>
        </is>
      </c>
      <c r="B126" s="19" t="inlineStr">
        <is>
          <t>Phase 4B: Edge CV</t>
        </is>
      </c>
      <c r="C126" s="20" t="inlineStr">
        <is>
          <t>Edge CV</t>
        </is>
      </c>
      <c r="D126" s="20" t="inlineStr">
        <is>
          <t>Select project Python at launch</t>
        </is>
      </c>
      <c r="E126" s="20" t="inlineStr">
        <is>
          <t>Prefer .venv before dependency imports; double-click Windows launcher; hardware-free runtime check; avoid serial package collision.</t>
        </is>
      </c>
      <c r="F126" s="20" t="inlineStr">
        <is>
          <t>edge/README.md</t>
        </is>
      </c>
      <c r="G126" s="19" t="inlineStr">
        <is>
          <t>Codex</t>
        </is>
      </c>
      <c r="H126" s="21" t="inlineStr">
        <is>
          <t>Done</t>
        </is>
      </c>
      <c r="I126" s="19" t="inlineStr">
        <is>
          <t>P1 - High</t>
        </is>
      </c>
      <c r="J126" s="20" t="inlineStr">
        <is>
          <t>Interpreter bootstrap unit tests; real global-to-venv import check; repository quality gate</t>
        </is>
      </c>
    </row>
    <row r="127" ht="80" customHeight="1">
      <c r="A127" s="19" t="inlineStr">
        <is>
          <t>TASK-NEW-FW-INSTALL-01</t>
        </is>
      </c>
      <c r="B127" s="19" t="inlineStr">
        <is>
          <t>Phase 5: Firmware</t>
        </is>
      </c>
      <c r="C127" s="20" t="inlineStr">
        <is>
          <t>Firmware</t>
        </is>
      </c>
      <c r="D127" s="20" t="inlineStr">
        <is>
          <t>Install three-board v3 firmware</t>
        </is>
      </c>
      <c r="E127" s="20" t="inlineStr">
        <is>
          <t>Explicit user approval with empty conveyor; identify old firmware; rebuild and upload COM5/7/9; verify flash hashes, v3 roles and paused/lamp-off telemetry. Physical sorting remains untested.</t>
        </is>
      </c>
      <c r="F127" s="20" t="inlineStr">
        <is>
          <t>docs/EDGE_THREE_BOARD_IMPLEMENTATION.md</t>
        </is>
      </c>
      <c r="G127" s="19" t="inlineStr">
        <is>
          <t>Codex</t>
        </is>
      </c>
      <c r="H127" s="21" t="inlineStr">
        <is>
          <t>Done</t>
        </is>
      </c>
      <c r="I127" s="19" t="inlineStr">
        <is>
          <t>P1 - High</t>
        </is>
      </c>
      <c r="J127" s="20" t="inlineStr">
        <is>
          <t>Three ESP32 builds; three verified uploads; actual application discovery and boot telemetry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2026-09-30T12:05:43Z</dcterms:created>
  <dcterms:modified xsi:type="dcterms:W3CDTF">2026-10-08T15:29:56Z</dcterms:modified>
</cp:coreProperties>
</file>